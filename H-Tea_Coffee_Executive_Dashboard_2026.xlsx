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27d1633e039b067d/Máy tính/EXCEL ESSENTIALS/"/>
    </mc:Choice>
  </mc:AlternateContent>
  <xr:revisionPtr revIDLastSave="416" documentId="8_{E44A823C-9FC4-477C-9A71-AC36D707126E}" xr6:coauthVersionLast="47" xr6:coauthVersionMax="47" xr10:uidLastSave="{3D0B4B95-62A6-46BB-B9E5-F03974CE6007}"/>
  <bookViews>
    <workbookView xWindow="-110" yWindow="-110" windowWidth="19420" windowHeight="10300" activeTab="1" xr2:uid="{6C1F274B-43EB-4B73-B76A-02F5E48499CA}"/>
  </bookViews>
  <sheets>
    <sheet name="Cleaned_Data" sheetId="2" r:id="rId1"/>
    <sheet name="Dashboard" sheetId="8" r:id="rId2"/>
    <sheet name="Calculations1" sheetId="9" r:id="rId3"/>
    <sheet name="Calculations" sheetId="6" r:id="rId4"/>
    <sheet name="Lookup_Lists" sheetId="7" r:id="rId5"/>
    <sheet name="Master_Data" sheetId="3" r:id="rId6"/>
  </sheets>
  <definedNames>
    <definedName name="_xlcn.WorksheetConnection_Book1Sales_Table1" hidden="1">Sales_Table[]</definedName>
    <definedName name="Category">Cleaned_Data!$G$2:$G$21</definedName>
    <definedName name="Cities">Table6[[#All],[Column1]]</definedName>
    <definedName name="City">Cleaned_Data!$E$2:$E$21</definedName>
    <definedName name="Customer_G">Table5[[#All],[Column1]]</definedName>
    <definedName name="Customer_Group">Cleaned_Data!$D$2:$D$21</definedName>
    <definedName name="Customer_N">Table4[[#All],[Column1]]</definedName>
    <definedName name="Customer_Name">Cleaned_Data!$C$2:$C$21</definedName>
    <definedName name="ExternalData_1" localSheetId="0" hidden="1">Cleaned_Data!$A$1:$K$21</definedName>
    <definedName name="Line_Total">Cleaned_Data!$J$2:$J$21</definedName>
    <definedName name="Net_Price">Cleaned_Data!$I$2:$I$21</definedName>
    <definedName name="Order_Date">Cleaned_Data!$B$2:$B$21</definedName>
    <definedName name="Order_ID">Cleaned_Data!$A$2:$A$21</definedName>
    <definedName name="Order_Quantity">Cleaned_Data!$H$2:$H$21</definedName>
    <definedName name="Payment_Status">Cleaned_Data!$K$2:$K$21</definedName>
    <definedName name="Product_N">Table7[[#All],[Column1]]</definedName>
    <definedName name="Product_Name">Cleaned_Data!$F$2:$F$21</definedName>
    <definedName name="Slicer_Category">#N/A</definedName>
    <definedName name="Slicer_City">#N/A</definedName>
    <definedName name="Slicer_Loyalty_Rank">#N/A</definedName>
    <definedName name="Timeline_Order_Date">#N/A</definedName>
  </definedNames>
  <calcPr calcId="191029"/>
  <pivotCaches>
    <pivotCache cacheId="0" r:id="rId7"/>
    <pivotCache cacheId="34" r:id="rId8"/>
    <pivotCache cacheId="42" r:id="rId9"/>
    <pivotCache cacheId="37" r:id="rId10"/>
    <pivotCache cacheId="40" r:id="rId11"/>
  </pivotCaches>
  <extLst>
    <ext xmlns:x14="http://schemas.microsoft.com/office/spreadsheetml/2009/9/main" uri="{876F7934-8845-4945-9796-88D515C7AA90}">
      <x14:pivotCaches>
        <pivotCache cacheId="5"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Table" name="Sales_Table" connection="WorksheetConnection_Book1!Sales_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4" i="9" l="1"/>
  <c r="D4" i="9" s="1"/>
  <c r="B15" i="6"/>
  <c r="B12" i="6"/>
  <c r="N2" i="2"/>
  <c r="N3" i="2"/>
  <c r="N4" i="2"/>
  <c r="N5" i="2"/>
  <c r="N6" i="2"/>
  <c r="N7" i="2"/>
  <c r="N8" i="2"/>
  <c r="N9" i="2"/>
  <c r="N10" i="2"/>
  <c r="N11" i="2"/>
  <c r="N12" i="2"/>
  <c r="N13" i="2"/>
  <c r="N14" i="2"/>
  <c r="N15" i="2"/>
  <c r="N16" i="2"/>
  <c r="N17" i="2"/>
  <c r="N18" i="2"/>
  <c r="N19" i="2"/>
  <c r="N20" i="2"/>
  <c r="N21" i="2"/>
  <c r="C3" i="6" a="1"/>
  <c r="C3" i="6" s="1"/>
  <c r="C4" i="6" a="1"/>
  <c r="C4" i="6" s="1"/>
  <c r="C5" i="6" a="1"/>
  <c r="C5" i="6" s="1"/>
  <c r="C6" i="6" a="1"/>
  <c r="C6" i="6" s="1"/>
  <c r="C2" i="6" a="1"/>
  <c r="C2" i="6" s="1"/>
  <c r="L2" i="2"/>
  <c r="M2" i="2" s="1"/>
  <c r="L3" i="2"/>
  <c r="M3" i="2" s="1"/>
  <c r="L4" i="2"/>
  <c r="M4" i="2" s="1"/>
  <c r="L5" i="2"/>
  <c r="M5" i="2" s="1"/>
  <c r="L6" i="2"/>
  <c r="M6" i="2" s="1"/>
  <c r="L7" i="2"/>
  <c r="M7" i="2" s="1"/>
  <c r="L8" i="2"/>
  <c r="M8" i="2" s="1"/>
  <c r="L9" i="2"/>
  <c r="M9" i="2" s="1"/>
  <c r="L10" i="2"/>
  <c r="M10" i="2" s="1"/>
  <c r="L11" i="2"/>
  <c r="M11" i="2" s="1"/>
  <c r="L12" i="2"/>
  <c r="M12" i="2" s="1"/>
  <c r="L13" i="2"/>
  <c r="M13" i="2" s="1"/>
  <c r="L14" i="2"/>
  <c r="M14" i="2" s="1"/>
  <c r="L15" i="2"/>
  <c r="M15" i="2" s="1"/>
  <c r="L16" i="2"/>
  <c r="M16" i="2" s="1"/>
  <c r="L17" i="2"/>
  <c r="M17" i="2" s="1"/>
  <c r="L18" i="2"/>
  <c r="M18" i="2" s="1"/>
  <c r="L19" i="2"/>
  <c r="M19" i="2" s="1"/>
  <c r="L20" i="2"/>
  <c r="M20" i="2" s="1"/>
  <c r="L21" i="2"/>
  <c r="M2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5FA4E3-8EB6-4F4C-85CC-98532BEAA17A}"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CA48B058-F6C3-433C-8155-56602CCC77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482C7A4-B6FE-48BB-AC0D-FEE32FF09355}" name="WorksheetConnection_Book1!Sales_Table" type="102" refreshedVersion="8" minRefreshableVersion="5">
    <extLst>
      <ext xmlns:x15="http://schemas.microsoft.com/office/spreadsheetml/2010/11/main" uri="{DE250136-89BD-433C-8126-D09CA5730AF9}">
        <x15:connection id="Sales_Table" autoDelete="1">
          <x15:rangePr sourceName="_xlcn.WorksheetConnection_Book1Sales_Table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<sst xmlns="http://schemas.openxmlformats.org/spreadsheetml/2006/main" count="208" uniqueCount="63">
  <si>
    <t>Order_ID</t>
  </si>
  <si>
    <t>Order_Date</t>
  </si>
  <si>
    <t>Customer_Name</t>
  </si>
  <si>
    <t>Customer_Group</t>
  </si>
  <si>
    <t>City</t>
  </si>
  <si>
    <t>Product_Name</t>
  </si>
  <si>
    <t>Category</t>
  </si>
  <si>
    <t>Order_Quantity</t>
  </si>
  <si>
    <t>Net_Price</t>
  </si>
  <si>
    <t>Line_Total</t>
  </si>
  <si>
    <t>Payment_Status</t>
  </si>
  <si>
    <t>SO001</t>
  </si>
  <si>
    <t>Siêu thị WinMart</t>
  </si>
  <si>
    <t>Wholesale</t>
  </si>
  <si>
    <t>Hà Nội</t>
  </si>
  <si>
    <t>Coffee</t>
  </si>
  <si>
    <t>Paid</t>
  </si>
  <si>
    <t>SO002</t>
  </si>
  <si>
    <t>Đại lý Trung Nguyên</t>
  </si>
  <si>
    <t>Buôn Ma Thuột</t>
  </si>
  <si>
    <t>Unpaid</t>
  </si>
  <si>
    <t>SO003</t>
  </si>
  <si>
    <t>Cửa hàng H-Tea Q1</t>
  </si>
  <si>
    <t>Retail</t>
  </si>
  <si>
    <t>TP.HCM</t>
  </si>
  <si>
    <t>Trà Oolong Thượng Hạng</t>
  </si>
  <si>
    <t>Tea</t>
  </si>
  <si>
    <t>SO004</t>
  </si>
  <si>
    <t>Lotte Mart</t>
  </si>
  <si>
    <t>SO005</t>
  </si>
  <si>
    <t>Cửa hàng H-Tea Q7</t>
  </si>
  <si>
    <t>SO006</t>
  </si>
  <si>
    <t>SO007</t>
  </si>
  <si>
    <t>SO008</t>
  </si>
  <si>
    <t>SO009</t>
  </si>
  <si>
    <t>SO010</t>
  </si>
  <si>
    <t>SO011</t>
  </si>
  <si>
    <t>SO012</t>
  </si>
  <si>
    <t>SO013</t>
  </si>
  <si>
    <t>Trà Sen Túi Lọc</t>
  </si>
  <si>
    <t>SO014</t>
  </si>
  <si>
    <t>SO015</t>
  </si>
  <si>
    <t>SO016</t>
  </si>
  <si>
    <t>SO017</t>
  </si>
  <si>
    <t>SO018</t>
  </si>
  <si>
    <t>SO019</t>
  </si>
  <si>
    <t>SO020</t>
  </si>
  <si>
    <t>Standard_Price</t>
  </si>
  <si>
    <t>Cà Phê Arabica Cầu Đất</t>
  </si>
  <si>
    <t>Cà Phê Robusta Honey</t>
  </si>
  <si>
    <t>Price_Gap</t>
  </si>
  <si>
    <t>Row Labels</t>
  </si>
  <si>
    <t>Grand Total</t>
  </si>
  <si>
    <t>Sum of Line_Total</t>
  </si>
  <si>
    <t>Loyalty Rank</t>
  </si>
  <si>
    <t>Loyalty_Rank</t>
  </si>
  <si>
    <t>Customer_N</t>
  </si>
  <si>
    <t>Customer_G</t>
  </si>
  <si>
    <t>Cities</t>
  </si>
  <si>
    <t>Product_N</t>
  </si>
  <si>
    <t>Count of Order_ID</t>
  </si>
  <si>
    <t>Diamond</t>
  </si>
  <si>
    <t>Count of Customer_Name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</si>
</sst>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24"/>
      <color theme="1"/>
      <name val="Aptos Narrow"/>
      <family val="2"/>
      <scheme val="minor"/>
    </font>
  </fonts>
  <fills count="3">
    <fill>
      <patternFill patternType="none"/>
    </fill>
    <fill>
      <patternFill patternType="gray125"/>
    </fill>
    <fill>
      <patternFill patternType="solid">
        <fgColor theme="9" tint="-0.499984740745262"/>
        <bgColor indexed="64"/>
      </patternFill>
    </fill>
  </fills>
  <borders count="1">
    <border>
      <left/>
      <right/>
      <top/>
      <bottom/>
      <diagonal/>
    </border>
  </borders>
  <cellStyleXfs count="1">
    <xf numFmtId="0" fontId="0" fillId="0" borderId="0"/>
  </cellStyleXfs>
  <cellXfs count="13">
    <xf numFmtId="0" fontId="0" fillId="0" borderId="0" xfId="0"/>
    <xf numFmtId="3"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1" fillId="0" borderId="0" xfId="0" applyFont="1"/>
    <xf numFmtId="10" fontId="0" fillId="0" borderId="0" xfId="0" applyNumberFormat="1"/>
    <xf numFmtId="9" fontId="0" fillId="0" borderId="0" xfId="0" applyNumberFormat="1"/>
    <xf numFmtId="0" fontId="0" fillId="0" borderId="0" xfId="0" applyAlignment="1">
      <alignment horizontal="center"/>
    </xf>
    <xf numFmtId="0" fontId="0" fillId="0" borderId="0" xfId="0" applyAlignment="1">
      <alignment wrapText="1"/>
    </xf>
    <xf numFmtId="0" fontId="0" fillId="0" borderId="0" xfId="0" applyAlignment="1">
      <alignment horizontal="center"/>
    </xf>
    <xf numFmtId="0" fontId="2" fillId="2" borderId="0" xfId="0" applyFont="1" applyFill="1" applyAlignment="1">
      <alignment horizontal="center"/>
    </xf>
    <xf numFmtId="0" fontId="0" fillId="0" borderId="0" xfId="0" applyNumberFormat="1"/>
  </cellXfs>
  <cellStyles count="1">
    <cellStyle name="Normal" xfId="0" builtinId="0"/>
  </cellStyles>
  <dxfs count="17">
    <dxf>
      <fill>
        <patternFill>
          <bgColor rgb="FFFF0000"/>
        </patternFill>
      </fill>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mm/dd"/>
    </dxf>
    <dxf>
      <numFmt numFmtId="0" formatCode="General"/>
    </dxf>
  </dxfs>
  <tableStyles count="0" defaultTableStyle="TableStyleMedium2" defaultPivotStyle="PivotStyleLight16"/>
  <colors>
    <mruColors>
      <color rgb="FF5C3C24"/>
      <color rgb="FF008000"/>
      <color rgb="FF8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10/relationships/person" Target="persons/person.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[H-Tea_Coffee_Executive_Dashboard_2026.xlsx]Calculations1!PivotTable10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sz="1200">
                <a:latin typeface="Aptos Narrow" panose="020B0004020202020204" pitchFamily="34" charset="0"/>
              </a:rPr>
              <a:t>DOANH THU THEO THÀNH PHỐ</a:t>
            </a:r>
            <a:endParaRPr lang="en-US" sz="12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Calculations1!$B$40</c:f>
              <c:strCache>
                <c:ptCount val="1"/>
                <c:pt idx="0">
                  <c:v>Total</c:v>
                </c:pt>
              </c:strCache>
            </c:strRef>
          </c:tx>
          <c:spPr>
            <a:solidFill>
              <a:schemeClr val="accent3"/>
            </a:solidFill>
            <a:ln>
              <a:noFill/>
            </a:ln>
            <a:effectLst/>
          </c:spPr>
          <c:invertIfNegative val="0"/>
          <c:cat>
            <c:strRef>
              <c:f>Calculations1!$A$41:$A$43</c:f>
              <c:strCache>
                <c:ptCount val="2"/>
                <c:pt idx="0">
                  <c:v>Hà Nội</c:v>
                </c:pt>
                <c:pt idx="1">
                  <c:v>TP.HCM</c:v>
                </c:pt>
              </c:strCache>
            </c:strRef>
          </c:cat>
          <c:val>
            <c:numRef>
              <c:f>Calculations1!$B$41:$B$43</c:f>
              <c:numCache>
                <c:formatCode>General</c:formatCode>
                <c:ptCount val="2"/>
                <c:pt idx="0">
                  <c:v>50000000</c:v>
                </c:pt>
                <c:pt idx="1">
                  <c:v>125000000</c:v>
                </c:pt>
              </c:numCache>
            </c:numRef>
          </c:val>
          <c:extLst>
            <c:ext xmlns:c16="http://schemas.microsoft.com/office/drawing/2014/chart" uri="{C3380CC4-5D6E-409C-BE32-E72D297353CC}">
              <c16:uniqueId val="{00000000-8CA3-41F1-9148-D1EE06529DF5}"/>
            </c:ext>
          </c:extLst>
        </c:ser>
        <c:dLbls>
          <c:showLegendKey val="0"/>
          <c:showVal val="0"/>
          <c:showCatName val="0"/>
          <c:showSerName val="0"/>
          <c:showPercent val="0"/>
          <c:showBubbleSize val="0"/>
        </c:dLbls>
        <c:gapWidth val="219"/>
        <c:overlap val="-27"/>
        <c:axId val="754198496"/>
        <c:axId val="754197056"/>
      </c:barChart>
      <c:catAx>
        <c:axId val="75419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197056"/>
        <c:crosses val="autoZero"/>
        <c:auto val="1"/>
        <c:lblAlgn val="ctr"/>
        <c:lblOffset val="100"/>
        <c:noMultiLvlLbl val="0"/>
      </c:catAx>
      <c:valAx>
        <c:axId val="75419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198496"/>
        <c:crosses val="autoZero"/>
        <c:crossBetween val="between"/>
      </c:valAx>
      <c:spPr>
        <a:noFill/>
        <a:ln>
          <a:noFill/>
        </a:ln>
        <a:effectLst>
          <a:outerShdw blurRad="50800" dist="38100" dir="2700000" algn="tl"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75000"/>
        </a:schemeClr>
      </a:solidFill>
      <a:round/>
    </a:ln>
    <a:effectLst>
      <a:outerShdw blurRad="50800" dist="38100" dir="2700000" algn="tl" rotWithShape="0">
        <a:schemeClr val="accent6">
          <a:lumMod val="20000"/>
          <a:lumOff val="8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[H-Tea_Coffee_Executive_Dashboard_2026.xlsx]Calculations1!PivotTable9</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0" i="0" u="none" strike="noStrike" baseline="0">
                <a:latin typeface="+mj-lt"/>
              </a:rPr>
              <a:t>TOP </a:t>
            </a:r>
            <a:r>
              <a:rPr lang="vi-VN" sz="1100" b="0" i="0" u="none" strike="noStrike" baseline="0">
                <a:latin typeface="+mj-lt"/>
              </a:rPr>
              <a:t>3</a:t>
            </a:r>
            <a:r>
              <a:rPr lang="en-US" sz="1100" b="0" i="0" u="none" strike="noStrike" baseline="0">
                <a:latin typeface="+mj-lt"/>
              </a:rPr>
              <a:t> SẢN PHẨM CHỦ LỰC</a:t>
            </a:r>
            <a:endParaRPr lang="en-US" sz="1100">
              <a:latin typeface="+mj-lt"/>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Calculations1!$B$22</c:f>
              <c:strCache>
                <c:ptCount val="1"/>
                <c:pt idx="0">
                  <c:v>Total</c:v>
                </c:pt>
              </c:strCache>
            </c:strRef>
          </c:tx>
          <c:spPr>
            <a:solidFill>
              <a:schemeClr val="accent3"/>
            </a:solidFill>
            <a:ln>
              <a:noFill/>
            </a:ln>
            <a:effectLst/>
          </c:spPr>
          <c:invertIfNegative val="0"/>
          <c:cat>
            <c:strRef>
              <c:f>Calculations1!$A$23:$A$24</c:f>
              <c:strCache>
                <c:ptCount val="1"/>
                <c:pt idx="0">
                  <c:v>Cà Phê Arabica Cầu Đất</c:v>
                </c:pt>
              </c:strCache>
            </c:strRef>
          </c:cat>
          <c:val>
            <c:numRef>
              <c:f>Calculations1!$B$23:$B$24</c:f>
              <c:numCache>
                <c:formatCode>General</c:formatCode>
                <c:ptCount val="1"/>
                <c:pt idx="0">
                  <c:v>175000000</c:v>
                </c:pt>
              </c:numCache>
            </c:numRef>
          </c:val>
          <c:extLst>
            <c:ext xmlns:c16="http://schemas.microsoft.com/office/drawing/2014/chart" uri="{C3380CC4-5D6E-409C-BE32-E72D297353CC}">
              <c16:uniqueId val="{00000000-CEB0-4014-821B-BFB4D2A51936}"/>
            </c:ext>
          </c:extLst>
        </c:ser>
        <c:dLbls>
          <c:showLegendKey val="0"/>
          <c:showVal val="0"/>
          <c:showCatName val="0"/>
          <c:showSerName val="0"/>
          <c:showPercent val="0"/>
          <c:showBubbleSize val="0"/>
        </c:dLbls>
        <c:gapWidth val="150"/>
        <c:axId val="420595472"/>
        <c:axId val="420600752"/>
      </c:barChart>
      <c:catAx>
        <c:axId val="420595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600752"/>
        <c:crosses val="autoZero"/>
        <c:auto val="1"/>
        <c:lblAlgn val="ctr"/>
        <c:lblOffset val="100"/>
        <c:noMultiLvlLbl val="0"/>
      </c:catAx>
      <c:valAx>
        <c:axId val="420600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595472"/>
        <c:crosses val="autoZero"/>
        <c:crossBetween val="between"/>
      </c:valAx>
      <c:spPr>
        <a:noFill/>
        <a:ln>
          <a:solidFill>
            <a:schemeClr val="accent6">
              <a:lumMod val="75000"/>
              <a:alpha val="97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75000"/>
        </a:schemeClr>
      </a:solidFill>
      <a:round/>
    </a:ln>
    <a:effectLst>
      <a:outerShdw blurRad="50800" dist="38100" dir="2700000" algn="tl" rotWithShape="0">
        <a:schemeClr val="accent6">
          <a:lumMod val="20000"/>
          <a:lumOff val="80000"/>
          <a:alpha val="40000"/>
        </a:schemeClr>
      </a:outerShdw>
      <a:softEdge rad="12700"/>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[H-Tea_Coffee_Executive_Dashboard_2026.xlsx]Calculations1!PivotTable8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sz="1100" b="0" i="0" u="none" strike="noStrike" baseline="0">
                <a:latin typeface="Aptos Narrow" panose="020B0004020202020204" pitchFamily="34" charset="0"/>
              </a:rPr>
              <a:t>CƠ CẤU HẠNG KHÁCH HÀNG</a:t>
            </a:r>
            <a:endParaRPr lang="en-US" sz="11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hade val="65000"/>
            </a:schemeClr>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tint val="65000"/>
            </a:schemeClr>
          </a:solidFill>
          <a:ln w="19050">
            <a:solidFill>
              <a:schemeClr val="lt1"/>
            </a:solidFill>
          </a:ln>
          <a:effectLst/>
        </c:spPr>
      </c:pivotFmt>
    </c:pivotFmts>
    <c:plotArea>
      <c:layout>
        <c:manualLayout>
          <c:layoutTarget val="inner"/>
          <c:xMode val="edge"/>
          <c:yMode val="edge"/>
          <c:x val="0.21018017536692646"/>
          <c:y val="0.1909574725152027"/>
          <c:w val="0.42046277214874755"/>
          <c:h val="0.75083991740812139"/>
        </c:manualLayout>
      </c:layout>
      <c:doughnutChart>
        <c:varyColors val="1"/>
        <c:ser>
          <c:idx val="0"/>
          <c:order val="0"/>
          <c:tx>
            <c:strRef>
              <c:f>Calculations1!$B$9</c:f>
              <c:strCache>
                <c:ptCount val="1"/>
                <c:pt idx="0">
                  <c:v>Total</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D5C9-4596-B758-0D94F9A1D27B}"/>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03-D5C9-4596-B758-0D94F9A1D27B}"/>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05-D5C9-4596-B758-0D94F9A1D27B}"/>
              </c:ext>
            </c:extLst>
          </c:dPt>
          <c:cat>
            <c:strRef>
              <c:f>Calculations1!$A$10:$A$11</c:f>
              <c:strCache>
                <c:ptCount val="1"/>
                <c:pt idx="0">
                  <c:v>Diamond</c:v>
                </c:pt>
              </c:strCache>
            </c:strRef>
          </c:cat>
          <c:val>
            <c:numRef>
              <c:f>Calculations1!$B$10:$B$11</c:f>
              <c:numCache>
                <c:formatCode>General</c:formatCode>
                <c:ptCount val="1"/>
                <c:pt idx="0">
                  <c:v>175000000</c:v>
                </c:pt>
              </c:numCache>
            </c:numRef>
          </c:val>
          <c:extLst>
            <c:ext xmlns:c16="http://schemas.microsoft.com/office/drawing/2014/chart" uri="{C3380CC4-5D6E-409C-BE32-E72D297353CC}">
              <c16:uniqueId val="{00000006-8E65-4825-8D52-D006D9083A0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75000"/>
          <a:alpha val="86000"/>
        </a:schemeClr>
      </a:solidFill>
      <a:round/>
    </a:ln>
    <a:effectLst>
      <a:outerShdw blurRad="50800" dist="38100" dir="2700000" algn="tl" rotWithShape="0">
        <a:schemeClr val="accent6">
          <a:lumMod val="20000"/>
          <a:lumOff val="8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[H-Tea_Coffee_Executive_Dashboard_2026.xlsx]Calculations1!PivotTable8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Calculations1!$B$9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E0-4C74-BD31-9A3EC66DE6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E0-4C74-BD31-9A3EC66DE6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E0-4C74-BD31-9A3EC66DE69B}"/>
              </c:ext>
            </c:extLst>
          </c:dPt>
          <c:cat>
            <c:strRef>
              <c:f>Calculations1!$A$10:$A$11</c:f>
              <c:strCache>
                <c:ptCount val="1"/>
                <c:pt idx="0">
                  <c:v>Diamond</c:v>
                </c:pt>
              </c:strCache>
            </c:strRef>
          </c:cat>
          <c:val>
            <c:numRef>
              <c:f>Calculations1!$B$10:$B$11</c:f>
              <c:numCache>
                <c:formatCode>General</c:formatCode>
                <c:ptCount val="1"/>
                <c:pt idx="0">
                  <c:v>175000000</c:v>
                </c:pt>
              </c:numCache>
            </c:numRef>
          </c:val>
          <c:extLst>
            <c:ext xmlns:c16="http://schemas.microsoft.com/office/drawing/2014/chart" uri="{C3380CC4-5D6E-409C-BE32-E72D297353CC}">
              <c16:uniqueId val="{00000006-FA87-4AD8-AA88-D5249C58FD2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[H-Tea_Coffee_Executive_Dashboard_2026.xlsx]Calculations1!PivotTable9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Calculations1!$B$22</c:f>
              <c:strCache>
                <c:ptCount val="1"/>
                <c:pt idx="0">
                  <c:v>Total</c:v>
                </c:pt>
              </c:strCache>
            </c:strRef>
          </c:tx>
          <c:spPr>
            <a:solidFill>
              <a:schemeClr val="accent1"/>
            </a:solidFill>
            <a:ln>
              <a:noFill/>
            </a:ln>
            <a:effectLst/>
          </c:spPr>
          <c:invertIfNegative val="0"/>
          <c:cat>
            <c:strRef>
              <c:f>Calculations1!$A$23:$A$24</c:f>
              <c:strCache>
                <c:ptCount val="1"/>
                <c:pt idx="0">
                  <c:v>Cà Phê Arabica Cầu Đất</c:v>
                </c:pt>
              </c:strCache>
            </c:strRef>
          </c:cat>
          <c:val>
            <c:numRef>
              <c:f>Calculations1!$B$23:$B$24</c:f>
              <c:numCache>
                <c:formatCode>General</c:formatCode>
                <c:ptCount val="1"/>
                <c:pt idx="0">
                  <c:v>175000000</c:v>
                </c:pt>
              </c:numCache>
            </c:numRef>
          </c:val>
          <c:extLst>
            <c:ext xmlns:c16="http://schemas.microsoft.com/office/drawing/2014/chart" uri="{C3380CC4-5D6E-409C-BE32-E72D297353CC}">
              <c16:uniqueId val="{00000000-717A-40DF-8354-C431F583E687}"/>
            </c:ext>
          </c:extLst>
        </c:ser>
        <c:dLbls>
          <c:showLegendKey val="0"/>
          <c:showVal val="0"/>
          <c:showCatName val="0"/>
          <c:showSerName val="0"/>
          <c:showPercent val="0"/>
          <c:showBubbleSize val="0"/>
        </c:dLbls>
        <c:gapWidth val="182"/>
        <c:axId val="420595472"/>
        <c:axId val="420600752"/>
      </c:barChart>
      <c:catAx>
        <c:axId val="420595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600752"/>
        <c:crosses val="autoZero"/>
        <c:auto val="1"/>
        <c:lblAlgn val="ctr"/>
        <c:lblOffset val="100"/>
        <c:noMultiLvlLbl val="0"/>
      </c:catAx>
      <c:valAx>
        <c:axId val="420600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59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[H-Tea_Coffee_Executive_Dashboard_2026.xlsx]Calculations1!PivotTable10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Calculations1!$B$40</c:f>
              <c:strCache>
                <c:ptCount val="1"/>
                <c:pt idx="0">
                  <c:v>Total</c:v>
                </c:pt>
              </c:strCache>
            </c:strRef>
          </c:tx>
          <c:spPr>
            <a:solidFill>
              <a:schemeClr val="accent1"/>
            </a:solidFill>
            <a:ln>
              <a:noFill/>
            </a:ln>
            <a:effectLst/>
          </c:spPr>
          <c:invertIfNegative val="0"/>
          <c:cat>
            <c:strRef>
              <c:f>Calculations1!$A$41:$A$43</c:f>
              <c:strCache>
                <c:ptCount val="2"/>
                <c:pt idx="0">
                  <c:v>Hà Nội</c:v>
                </c:pt>
                <c:pt idx="1">
                  <c:v>TP.HCM</c:v>
                </c:pt>
              </c:strCache>
            </c:strRef>
          </c:cat>
          <c:val>
            <c:numRef>
              <c:f>Calculations1!$B$41:$B$43</c:f>
              <c:numCache>
                <c:formatCode>General</c:formatCode>
                <c:ptCount val="2"/>
                <c:pt idx="0">
                  <c:v>50000000</c:v>
                </c:pt>
                <c:pt idx="1">
                  <c:v>125000000</c:v>
                </c:pt>
              </c:numCache>
            </c:numRef>
          </c:val>
          <c:extLst>
            <c:ext xmlns:c16="http://schemas.microsoft.com/office/drawing/2014/chart" uri="{C3380CC4-5D6E-409C-BE32-E72D297353CC}">
              <c16:uniqueId val="{00000000-3E8B-457C-B5B7-D0084652F8A0}"/>
            </c:ext>
          </c:extLst>
        </c:ser>
        <c:dLbls>
          <c:showLegendKey val="0"/>
          <c:showVal val="0"/>
          <c:showCatName val="0"/>
          <c:showSerName val="0"/>
          <c:showPercent val="0"/>
          <c:showBubbleSize val="0"/>
        </c:dLbls>
        <c:gapWidth val="219"/>
        <c:overlap val="-27"/>
        <c:axId val="754198496"/>
        <c:axId val="754197056"/>
      </c:barChart>
      <c:catAx>
        <c:axId val="75419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197056"/>
        <c:crosses val="autoZero"/>
        <c:auto val="1"/>
        <c:lblAlgn val="ctr"/>
        <c:lblOffset val="100"/>
        <c:noMultiLvlLbl val="0"/>
      </c:catAx>
      <c:valAx>
        <c:axId val="75419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19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2</xdr:row>
      <xdr:rowOff>1</xdr:rowOff>
    </xdr:from>
    <xdr:to>
      <xdr:col>21</xdr:col>
      <xdr:colOff>3024</xdr:colOff>
      <xdr:row>41</xdr:row>
      <xdr:rowOff>1</xdr:rowOff>
    </xdr:to>
    <xdr:sp macro="" textlink="">
      <xdr:nvSpPr>
        <xdr:cNvPr id="23" name="Rectangle 22">
          <a:extLst>
            <a:ext uri="{FF2B5EF4-FFF2-40B4-BE49-F238E27FC236}">
              <a16:creationId xmlns:a16="http://schemas.microsoft.com/office/drawing/2014/main" id="{52B62969-B031-CC06-4BF6-56E51A68EEF3}"/>
            </a:ext>
          </a:extLst>
        </xdr:cNvPr>
        <xdr:cNvSpPr/>
      </xdr:nvSpPr>
      <xdr:spPr>
        <a:xfrm>
          <a:off x="1" y="643248"/>
          <a:ext cx="12818478" cy="7075714"/>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407962</xdr:colOff>
      <xdr:row>3</xdr:row>
      <xdr:rowOff>62540</xdr:rowOff>
    </xdr:from>
    <xdr:to>
      <xdr:col>6</xdr:col>
      <xdr:colOff>424891</xdr:colOff>
      <xdr:row>8</xdr:row>
      <xdr:rowOff>155745</xdr:rowOff>
    </xdr:to>
    <xdr:grpSp>
      <xdr:nvGrpSpPr>
        <xdr:cNvPr id="22" name="Group 21">
          <a:extLst>
            <a:ext uri="{FF2B5EF4-FFF2-40B4-BE49-F238E27FC236}">
              <a16:creationId xmlns:a16="http://schemas.microsoft.com/office/drawing/2014/main" id="{781EBC61-ADC8-B4D1-E33F-503504FDC998}"/>
            </a:ext>
          </a:extLst>
        </xdr:cNvPr>
        <xdr:cNvGrpSpPr/>
      </xdr:nvGrpSpPr>
      <xdr:grpSpPr>
        <a:xfrm>
          <a:off x="2236762" y="900740"/>
          <a:ext cx="1845729" cy="1045705"/>
          <a:chOff x="2004893" y="760411"/>
          <a:chExt cx="1846484" cy="1004839"/>
        </a:xfrm>
      </xdr:grpSpPr>
      <xdr:sp macro="" textlink="Calculations!$B$12">
        <xdr:nvSpPr>
          <xdr:cNvPr id="2" name="Rectangle: Rounded Corners 1">
            <a:extLst>
              <a:ext uri="{FF2B5EF4-FFF2-40B4-BE49-F238E27FC236}">
                <a16:creationId xmlns:a16="http://schemas.microsoft.com/office/drawing/2014/main" id="{5DB4AD8F-9714-68ED-255E-F10B0F26E80D}"/>
              </a:ext>
            </a:extLst>
          </xdr:cNvPr>
          <xdr:cNvSpPr/>
        </xdr:nvSpPr>
        <xdr:spPr>
          <a:xfrm>
            <a:off x="2004893" y="760411"/>
            <a:ext cx="1846484" cy="1004839"/>
          </a:xfrm>
          <a:prstGeom prst="roundRect">
            <a:avLst/>
          </a:prstGeom>
          <a:solidFill>
            <a:schemeClr val="accent6">
              <a:lumMod val="20000"/>
              <a:lumOff val="80000"/>
            </a:schemeClr>
          </a:solidFill>
          <a:ln>
            <a:solidFill>
              <a:schemeClr val="accent6">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B1C6B3-B83B-4CF5-947C-10AA2EB9A7EF}" type="TxLink">
              <a:rPr lang="en-US" sz="2000" b="0" i="0" u="none" strike="noStrike">
                <a:solidFill>
                  <a:srgbClr val="000000"/>
                </a:solidFill>
                <a:latin typeface="Aptos Narrow"/>
              </a:rPr>
              <a:pPr algn="ctr"/>
              <a:t>207520000</a:t>
            </a:fld>
            <a:endParaRPr lang="vi-VN" sz="2000"/>
          </a:p>
        </xdr:txBody>
      </xdr:sp>
      <xdr:sp macro="" textlink="">
        <xdr:nvSpPr>
          <xdr:cNvPr id="5" name="TextBox 4">
            <a:extLst>
              <a:ext uri="{FF2B5EF4-FFF2-40B4-BE49-F238E27FC236}">
                <a16:creationId xmlns:a16="http://schemas.microsoft.com/office/drawing/2014/main" id="{81974972-34C2-74A8-D46C-397F72EF2A70}"/>
              </a:ext>
            </a:extLst>
          </xdr:cNvPr>
          <xdr:cNvSpPr txBox="1"/>
        </xdr:nvSpPr>
        <xdr:spPr>
          <a:xfrm>
            <a:off x="2308591" y="841337"/>
            <a:ext cx="1264262" cy="276007"/>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000" b="1"/>
              <a:t>Tổng Doanh Thu</a:t>
            </a:r>
            <a:endParaRPr lang="en-US" sz="1000" b="1"/>
          </a:p>
        </xdr:txBody>
      </xdr:sp>
    </xdr:grpSp>
    <xdr:clientData/>
  </xdr:twoCellAnchor>
  <xdr:twoCellAnchor>
    <xdr:from>
      <xdr:col>7</xdr:col>
      <xdr:colOff>122689</xdr:colOff>
      <xdr:row>3</xdr:row>
      <xdr:rowOff>78002</xdr:rowOff>
    </xdr:from>
    <xdr:to>
      <xdr:col>10</xdr:col>
      <xdr:colOff>115264</xdr:colOff>
      <xdr:row>8</xdr:row>
      <xdr:rowOff>155744</xdr:rowOff>
    </xdr:to>
    <xdr:grpSp>
      <xdr:nvGrpSpPr>
        <xdr:cNvPr id="8" name="Group 7">
          <a:extLst>
            <a:ext uri="{FF2B5EF4-FFF2-40B4-BE49-F238E27FC236}">
              <a16:creationId xmlns:a16="http://schemas.microsoft.com/office/drawing/2014/main" id="{7E636FFC-0ED1-1E08-EB7E-E41937CA3A34}"/>
            </a:ext>
          </a:extLst>
        </xdr:cNvPr>
        <xdr:cNvGrpSpPr/>
      </xdr:nvGrpSpPr>
      <xdr:grpSpPr>
        <a:xfrm>
          <a:off x="4389889" y="916202"/>
          <a:ext cx="1821375" cy="1030242"/>
          <a:chOff x="2971323" y="459659"/>
          <a:chExt cx="1594464" cy="832874"/>
        </a:xfrm>
        <a:solidFill>
          <a:schemeClr val="accent6">
            <a:lumMod val="20000"/>
            <a:lumOff val="80000"/>
          </a:schemeClr>
        </a:solidFill>
      </xdr:grpSpPr>
      <xdr:sp macro="" textlink="Calculations!$B$15">
        <xdr:nvSpPr>
          <xdr:cNvPr id="3" name="Rectangle: Rounded Corners 2">
            <a:extLst>
              <a:ext uri="{FF2B5EF4-FFF2-40B4-BE49-F238E27FC236}">
                <a16:creationId xmlns:a16="http://schemas.microsoft.com/office/drawing/2014/main" id="{C74B10BD-8471-40EE-B9CF-5123EC151736}"/>
              </a:ext>
            </a:extLst>
          </xdr:cNvPr>
          <xdr:cNvSpPr/>
        </xdr:nvSpPr>
        <xdr:spPr>
          <a:xfrm>
            <a:off x="2971323" y="459659"/>
            <a:ext cx="1594464" cy="832874"/>
          </a:xfrm>
          <a:prstGeom prst="roundRect">
            <a:avLst/>
          </a:prstGeom>
          <a:grpFill/>
          <a:ln>
            <a:solidFill>
              <a:schemeClr val="accent6">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6C5298C-8589-4EA0-999B-4D26AD0BB46F}" type="TxLink">
              <a:rPr lang="en-US" sz="2000" b="0" i="0" u="none" strike="noStrike">
                <a:solidFill>
                  <a:srgbClr val="000000"/>
                </a:solidFill>
                <a:latin typeface="Aptos Narrow"/>
              </a:rPr>
              <a:pPr algn="ctr"/>
              <a:t>20</a:t>
            </a:fld>
            <a:endParaRPr lang="vi-VN" sz="2000"/>
          </a:p>
        </xdr:txBody>
      </xdr:sp>
      <xdr:sp macro="" textlink="">
        <xdr:nvSpPr>
          <xdr:cNvPr id="7" name="TextBox 6">
            <a:extLst>
              <a:ext uri="{FF2B5EF4-FFF2-40B4-BE49-F238E27FC236}">
                <a16:creationId xmlns:a16="http://schemas.microsoft.com/office/drawing/2014/main" id="{E2DBDDCD-BFDB-DC14-E66D-66CF3AA91EED}"/>
              </a:ext>
            </a:extLst>
          </xdr:cNvPr>
          <xdr:cNvSpPr txBox="1"/>
        </xdr:nvSpPr>
        <xdr:spPr>
          <a:xfrm>
            <a:off x="3116564" y="546893"/>
            <a:ext cx="1294505" cy="179331"/>
          </a:xfrm>
          <a:prstGeom prst="rect">
            <a:avLst/>
          </a:prstGeom>
          <a:grpFill/>
          <a:ln w="9525" cmpd="sng">
            <a:solidFill>
              <a:schemeClr val="accent6">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000" b="1"/>
              <a:t>Tổng Đơn Hàng</a:t>
            </a:r>
          </a:p>
        </xdr:txBody>
      </xdr:sp>
    </xdr:grpSp>
    <xdr:clientData/>
  </xdr:twoCellAnchor>
  <xdr:twoCellAnchor>
    <xdr:from>
      <xdr:col>10</xdr:col>
      <xdr:colOff>436571</xdr:colOff>
      <xdr:row>3</xdr:row>
      <xdr:rowOff>59674</xdr:rowOff>
    </xdr:from>
    <xdr:to>
      <xdr:col>13</xdr:col>
      <xdr:colOff>397580</xdr:colOff>
      <xdr:row>8</xdr:row>
      <xdr:rowOff>125027</xdr:rowOff>
    </xdr:to>
    <xdr:grpSp>
      <xdr:nvGrpSpPr>
        <xdr:cNvPr id="20" name="Group 19">
          <a:extLst>
            <a:ext uri="{FF2B5EF4-FFF2-40B4-BE49-F238E27FC236}">
              <a16:creationId xmlns:a16="http://schemas.microsoft.com/office/drawing/2014/main" id="{25CC2550-8FDE-5A29-845B-4A80BF7FFF5D}"/>
            </a:ext>
          </a:extLst>
        </xdr:cNvPr>
        <xdr:cNvGrpSpPr/>
      </xdr:nvGrpSpPr>
      <xdr:grpSpPr>
        <a:xfrm>
          <a:off x="6532571" y="897874"/>
          <a:ext cx="1789809" cy="1017853"/>
          <a:chOff x="6684041" y="753450"/>
          <a:chExt cx="1962587" cy="1156093"/>
        </a:xfrm>
        <a:solidFill>
          <a:schemeClr val="accent6">
            <a:lumMod val="20000"/>
            <a:lumOff val="80000"/>
          </a:schemeClr>
        </a:solidFill>
      </xdr:grpSpPr>
      <xdr:sp macro="" textlink="Calculations1!D4">
        <xdr:nvSpPr>
          <xdr:cNvPr id="4" name="Rectangle: Rounded Corners 3">
            <a:extLst>
              <a:ext uri="{FF2B5EF4-FFF2-40B4-BE49-F238E27FC236}">
                <a16:creationId xmlns:a16="http://schemas.microsoft.com/office/drawing/2014/main" id="{7C147480-A22B-8630-868F-CF8D9712B003}"/>
              </a:ext>
            </a:extLst>
          </xdr:cNvPr>
          <xdr:cNvSpPr/>
        </xdr:nvSpPr>
        <xdr:spPr>
          <a:xfrm>
            <a:off x="6684041" y="753450"/>
            <a:ext cx="1962587" cy="1156093"/>
          </a:xfrm>
          <a:prstGeom prst="roundRect">
            <a:avLst/>
          </a:prstGeom>
          <a:grpFill/>
          <a:ln>
            <a:solidFill>
              <a:schemeClr val="accent6">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72EC641-8C42-4C6D-8B11-62A80F1892B2}" type="TxLink">
              <a:rPr lang="en-US" sz="2400" b="0" i="0" u="none" strike="noStrike">
                <a:solidFill>
                  <a:srgbClr val="000000"/>
                </a:solidFill>
                <a:latin typeface="Aptos Narrow"/>
              </a:rPr>
              <a:pPr algn="ctr"/>
              <a:t>#DIV/0!</a:t>
            </a:fld>
            <a:endParaRPr lang="en-US" sz="2400"/>
          </a:p>
        </xdr:txBody>
      </xdr:sp>
      <xdr:sp macro="" textlink="">
        <xdr:nvSpPr>
          <xdr:cNvPr id="9" name="TextBox 8">
            <a:extLst>
              <a:ext uri="{FF2B5EF4-FFF2-40B4-BE49-F238E27FC236}">
                <a16:creationId xmlns:a16="http://schemas.microsoft.com/office/drawing/2014/main" id="{AAB07F53-9F81-0EF7-9A33-60B4BDD55C6D}"/>
              </a:ext>
            </a:extLst>
          </xdr:cNvPr>
          <xdr:cNvSpPr txBox="1"/>
        </xdr:nvSpPr>
        <xdr:spPr>
          <a:xfrm>
            <a:off x="6958997" y="878231"/>
            <a:ext cx="1463789" cy="225823"/>
          </a:xfrm>
          <a:prstGeom prst="rect">
            <a:avLst/>
          </a:prstGeom>
          <a:grpFill/>
          <a:ln w="9525" cmpd="sng">
            <a:solidFill>
              <a:schemeClr val="accent6">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a:solidFill>
                  <a:schemeClr val="dk1"/>
                </a:solidFill>
                <a:effectLst/>
                <a:latin typeface="+mn-lt"/>
                <a:ea typeface="+mn-ea"/>
                <a:cs typeface="+mn-cs"/>
              </a:rPr>
              <a:t> Tỉ lệ khách Diamond </a:t>
            </a:r>
            <a:endParaRPr lang="en-US" sz="1000" b="1"/>
          </a:p>
        </xdr:txBody>
      </xdr:sp>
    </xdr:grpSp>
    <xdr:clientData/>
  </xdr:twoCellAnchor>
  <xdr:twoCellAnchor>
    <xdr:from>
      <xdr:col>3</xdr:col>
      <xdr:colOff>301281</xdr:colOff>
      <xdr:row>24</xdr:row>
      <xdr:rowOff>125909</xdr:rowOff>
    </xdr:from>
    <xdr:to>
      <xdr:col>20</xdr:col>
      <xdr:colOff>536039</xdr:colOff>
      <xdr:row>40</xdr:row>
      <xdr:rowOff>71550</xdr:rowOff>
    </xdr:to>
    <xdr:graphicFrame macro="">
      <xdr:nvGraphicFramePr>
        <xdr:cNvPr id="10" name="Chart 9">
          <a:extLst>
            <a:ext uri="{FF2B5EF4-FFF2-40B4-BE49-F238E27FC236}">
              <a16:creationId xmlns:a16="http://schemas.microsoft.com/office/drawing/2014/main" id="{609FAC1E-6B2D-4C86-AEF4-17A85DA47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311042</xdr:colOff>
      <xdr:row>9</xdr:row>
      <xdr:rowOff>146475</xdr:rowOff>
    </xdr:from>
    <xdr:to>
      <xdr:col>14</xdr:col>
      <xdr:colOff>44719</xdr:colOff>
      <xdr:row>24</xdr:row>
      <xdr:rowOff>0</xdr:rowOff>
    </xdr:to>
    <xdr:graphicFrame macro="">
      <xdr:nvGraphicFramePr>
        <xdr:cNvPr id="11" name="Chart 10">
          <a:extLst>
            <a:ext uri="{FF2B5EF4-FFF2-40B4-BE49-F238E27FC236}">
              <a16:creationId xmlns:a16="http://schemas.microsoft.com/office/drawing/2014/main" id="{1E807438-9296-4215-8B31-BC4AA11E3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172133</xdr:colOff>
      <xdr:row>11</xdr:row>
      <xdr:rowOff>106467</xdr:rowOff>
    </xdr:from>
    <xdr:to>
      <xdr:col>20</xdr:col>
      <xdr:colOff>560779</xdr:colOff>
      <xdr:row>23</xdr:row>
      <xdr:rowOff>178873</xdr:rowOff>
    </xdr:to>
    <xdr:graphicFrame macro="">
      <xdr:nvGraphicFramePr>
        <xdr:cNvPr id="12" name="Chart 11">
          <a:extLst>
            <a:ext uri="{FF2B5EF4-FFF2-40B4-BE49-F238E27FC236}">
              <a16:creationId xmlns:a16="http://schemas.microsoft.com/office/drawing/2014/main" id="{236436BB-4296-4A38-9A26-414EEE2B0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109330</xdr:colOff>
      <xdr:row>21</xdr:row>
      <xdr:rowOff>26833</xdr:rowOff>
    </xdr:from>
    <xdr:to>
      <xdr:col>3</xdr:col>
      <xdr:colOff>99274</xdr:colOff>
      <xdr:row>30</xdr:row>
      <xdr:rowOff>40061</xdr:rowOff>
    </xdr:to>
    <mc:AlternateContent xmlns:mc="http://schemas.openxmlformats.org/markup-compatibility/2006" xmlns:a14="http://schemas.microsoft.com/office/drawing/2010/main">
      <mc:Choice Requires="a14">
        <xdr:graphicFrame macro="">
          <xdr:nvGraphicFramePr>
            <xdr:cNvPr id="14" name="City">
              <a:extLst>
                <a:ext uri="{FF2B5EF4-FFF2-40B4-BE49-F238E27FC236}">
                  <a16:creationId xmlns:a16="http://schemas.microsoft.com/office/drawing/2014/main" id="{8A68AEEA-71D7-CE99-FD11-4E376019F12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9330" y="4294033"/>
              <a:ext cx="1818744" cy="1727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98114</xdr:colOff>
      <xdr:row>31</xdr:row>
      <xdr:rowOff>88744</xdr:rowOff>
    </xdr:from>
    <xdr:to>
      <xdr:col>3</xdr:col>
      <xdr:colOff>85414</xdr:colOff>
      <xdr:row>40</xdr:row>
      <xdr:rowOff>79749</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0CD53667-80BC-1979-58A2-8452450BF6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114" y="6260944"/>
              <a:ext cx="1816100" cy="1705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121543</xdr:colOff>
      <xdr:row>10</xdr:row>
      <xdr:rowOff>164809</xdr:rowOff>
    </xdr:from>
    <xdr:to>
      <xdr:col>3</xdr:col>
      <xdr:colOff>108843</xdr:colOff>
      <xdr:row>19</xdr:row>
      <xdr:rowOff>169043</xdr:rowOff>
    </xdr:to>
    <mc:AlternateContent xmlns:mc="http://schemas.openxmlformats.org/markup-compatibility/2006" xmlns:a14="http://schemas.microsoft.com/office/drawing/2010/main">
      <mc:Choice Requires="a14">
        <xdr:graphicFrame macro="">
          <xdr:nvGraphicFramePr>
            <xdr:cNvPr id="16" name="Loyalty_Rank">
              <a:extLst>
                <a:ext uri="{FF2B5EF4-FFF2-40B4-BE49-F238E27FC236}">
                  <a16:creationId xmlns:a16="http://schemas.microsoft.com/office/drawing/2014/main" id="{4D9B761B-2047-C625-104D-9AD0E296C8CA}"/>
                </a:ext>
              </a:extLst>
            </xdr:cNvPr>
            <xdr:cNvGraphicFramePr/>
          </xdr:nvGraphicFramePr>
          <xdr:xfrm>
            <a:off x="0" y="0"/>
            <a:ext cx="0" cy="0"/>
          </xdr:xfrm>
          <a:graphic>
            <a:graphicData uri="http://schemas.microsoft.com/office/drawing/2010/slicer">
              <sle:slicer xmlns:sle="http://schemas.microsoft.com/office/drawing/2010/slicer" name="Loyalty_Rank"/>
            </a:graphicData>
          </a:graphic>
        </xdr:graphicFrame>
      </mc:Choice>
      <mc:Fallback xmlns="">
        <xdr:sp macro="" textlink="">
          <xdr:nvSpPr>
            <xdr:cNvPr id="0" name=""/>
            <xdr:cNvSpPr>
              <a:spLocks noTextEdit="1"/>
            </xdr:cNvSpPr>
          </xdr:nvSpPr>
          <xdr:spPr>
            <a:xfrm>
              <a:off x="121543" y="2336509"/>
              <a:ext cx="1816100" cy="17187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167576</xdr:colOff>
      <xdr:row>2</xdr:row>
      <xdr:rowOff>119279</xdr:rowOff>
    </xdr:from>
    <xdr:to>
      <xdr:col>20</xdr:col>
      <xdr:colOff>566353</xdr:colOff>
      <xdr:row>10</xdr:row>
      <xdr:rowOff>125212</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344118A0-0BAF-4182-E24E-C92C827B586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701976" y="766979"/>
              <a:ext cx="4056377" cy="15299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151241</xdr:colOff>
      <xdr:row>2</xdr:row>
      <xdr:rowOff>123964</xdr:rowOff>
    </xdr:from>
    <xdr:to>
      <xdr:col>3</xdr:col>
      <xdr:colOff>72536</xdr:colOff>
      <xdr:row>9</xdr:row>
      <xdr:rowOff>163467</xdr:rowOff>
    </xdr:to>
    <xdr:pic>
      <xdr:nvPicPr>
        <xdr:cNvPr id="21" name="Picture 20" descr="Close up of whole coffee beans and ground coffee">
          <a:extLst>
            <a:ext uri="{FF2B5EF4-FFF2-40B4-BE49-F238E27FC236}">
              <a16:creationId xmlns:a16="http://schemas.microsoft.com/office/drawing/2014/main" id="{77407023-343F-1186-1FFA-04DAB41FA2C8}"/>
            </a:ext>
          </a:extLst>
        </xdr:cNvPr>
        <xdr:cNvPicPr>
          <a:picLocks noChangeAspect="1"/>
        </xdr:cNvPicPr>
      </xdr:nvPicPr>
      <xdr:blipFill>
        <a:blip xmlns:r="http://schemas.openxmlformats.org/officeDocument/2006/relationships" r:embed="rId4"/>
        <a:stretch>
          <a:fillRect/>
        </a:stretch>
      </xdr:blipFill>
      <xdr:spPr>
        <a:xfrm>
          <a:off x="151241" y="765251"/>
          <a:ext cx="1750849" cy="1315790"/>
        </a:xfrm>
        <a:prstGeom prst="rect">
          <a:avLst/>
        </a:prstGeom>
      </xdr:spPr>
    </xdr:pic>
    <xdr:clientData/>
  </xdr:twoCellAnchor>
  <xdr:twoCellAnchor>
    <xdr:from>
      <xdr:col>5</xdr:col>
      <xdr:colOff>81238</xdr:colOff>
      <xdr:row>0</xdr:row>
      <xdr:rowOff>105833</xdr:rowOff>
    </xdr:from>
    <xdr:to>
      <xdr:col>15</xdr:col>
      <xdr:colOff>160240</xdr:colOff>
      <xdr:row>1</xdr:row>
      <xdr:rowOff>275166</xdr:rowOff>
    </xdr:to>
    <xdr:sp macro="" textlink="">
      <xdr:nvSpPr>
        <xdr:cNvPr id="19" name="TextBox 18">
          <a:extLst>
            <a:ext uri="{FF2B5EF4-FFF2-40B4-BE49-F238E27FC236}">
              <a16:creationId xmlns:a16="http://schemas.microsoft.com/office/drawing/2014/main" id="{3B0689A8-FACC-2FC4-A618-BE9712EC5127}"/>
            </a:ext>
          </a:extLst>
        </xdr:cNvPr>
        <xdr:cNvSpPr txBox="1"/>
      </xdr:nvSpPr>
      <xdr:spPr>
        <a:xfrm>
          <a:off x="3122083" y="105833"/>
          <a:ext cx="6160692" cy="446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effectLst>
                <a:outerShdw blurRad="50800" dist="38100" dir="2700000" algn="tl" rotWithShape="0">
                  <a:prstClr val="black">
                    <a:alpha val="40000"/>
                  </a:prstClr>
                </a:outerShdw>
              </a:effectLst>
            </a:rPr>
            <a:t>H_TEA_COFFEE</a:t>
          </a:r>
          <a:r>
            <a:rPr lang="en-US" sz="2800" b="1" baseline="0">
              <a:effectLst>
                <a:outerShdw blurRad="50800" dist="38100" dir="2700000" algn="tl" rotWithShape="0">
                  <a:prstClr val="black">
                    <a:alpha val="40000"/>
                  </a:prstClr>
                </a:outerShdw>
              </a:effectLst>
            </a:rPr>
            <a:t> </a:t>
          </a:r>
          <a:r>
            <a:rPr lang="en-US" sz="2800" b="1">
              <a:effectLst>
                <a:outerShdw blurRad="50800" dist="38100" dir="2700000" algn="tl" rotWithShape="0">
                  <a:prstClr val="black">
                    <a:alpha val="40000"/>
                  </a:prstClr>
                </a:outerShdw>
              </a:effectLst>
            </a:rPr>
            <a:t>EXECUTIVE DASHBOARD</a:t>
          </a:r>
        </a:p>
      </xdr:txBody>
    </xdr:sp>
    <xdr:clientData/>
  </xdr:twoCellAnchor>
  <xdr:twoCellAnchor>
    <xdr:from>
      <xdr:col>23</xdr:col>
      <xdr:colOff>27609</xdr:colOff>
      <xdr:row>2</xdr:row>
      <xdr:rowOff>55217</xdr:rowOff>
    </xdr:from>
    <xdr:to>
      <xdr:col>38</xdr:col>
      <xdr:colOff>110434</xdr:colOff>
      <xdr:row>22</xdr:row>
      <xdr:rowOff>161440</xdr:rowOff>
    </xdr:to>
    <xdr:sp macro="" textlink="">
      <xdr:nvSpPr>
        <xdr:cNvPr id="24" name="TextBox 23">
          <a:extLst>
            <a:ext uri="{FF2B5EF4-FFF2-40B4-BE49-F238E27FC236}">
              <a16:creationId xmlns:a16="http://schemas.microsoft.com/office/drawing/2014/main" id="{8349A87C-AAC4-5AB2-9DFE-AEE8B45DF8B1}"/>
            </a:ext>
          </a:extLst>
        </xdr:cNvPr>
        <xdr:cNvSpPr txBox="1"/>
      </xdr:nvSpPr>
      <xdr:spPr>
        <a:xfrm>
          <a:off x="14137524" y="700980"/>
          <a:ext cx="9284944" cy="3765545"/>
        </a:xfrm>
        <a:prstGeom prst="rect">
          <a:avLst/>
        </a:prstGeom>
        <a:solidFill>
          <a:schemeClr val="accent2">
            <a:lumMod val="20000"/>
            <a:lumOff val="80000"/>
          </a:schemeClr>
        </a:solidFill>
        <a:ln w="9525" cmpd="sng">
          <a:solidFill>
            <a:schemeClr val="accent6">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mn-lt"/>
            </a:rPr>
            <a:t>Executive Summary</a:t>
          </a:r>
          <a:endParaRPr lang="vi-VN" sz="2000" b="1">
            <a:latin typeface="+mn-lt"/>
          </a:endParaRPr>
        </a:p>
        <a:p>
          <a:r>
            <a:rPr lang="vi-VN" sz="2000" b="1">
              <a:latin typeface="+mn-lt"/>
            </a:rPr>
            <a:t>Về doanh thu: </a:t>
          </a:r>
          <a:r>
            <a:rPr lang="vi-VN" sz="2000" b="0">
              <a:latin typeface="+mn-lt"/>
            </a:rPr>
            <a:t>Tổng doanh thu đạt mức 207.5M, trong đó Cà phê Arabica Cầu Đất là sản phẩm chủ lực đóng góp tỉ trọng cao nhất. Cần tập trung đẩy mạnh tồn kho cho dòng này.</a:t>
          </a:r>
        </a:p>
        <a:p>
          <a:r>
            <a:rPr lang="vi-VN" sz="2000" b="1">
              <a:latin typeface="+mn-lt"/>
            </a:rPr>
            <a:t>Về khách hàng: </a:t>
          </a:r>
          <a:r>
            <a:rPr lang="vi-VN" sz="2000" b="0">
              <a:latin typeface="+mn-lt"/>
            </a:rPr>
            <a:t>Tỉ lệ khách hàng Diamond chiếm 40% (80.5M), cho thấy khả năng giữ chân khách hàng Diamond rất tốt. Tuy nhiên, nhóm Silver vẫn chiếm số lượng đông nhưng giá trị đơn hàng thấp, cần có chính sách Upsell.</a:t>
          </a:r>
        </a:p>
        <a:p>
          <a:r>
            <a:rPr lang="vi-VN" sz="2000" b="1">
              <a:latin typeface="+mn-lt"/>
            </a:rPr>
            <a:t>Về thị trường: </a:t>
          </a:r>
          <a:r>
            <a:rPr lang="vi-VN" sz="2000" b="0">
              <a:latin typeface="+mn-lt"/>
            </a:rPr>
            <a:t>Thị trường TP. Hồ Chí Minh đang dẫn đầu tuyệt đối. Các khu vực như Hà Nội và Buôn Ma Thuột còn nhiều dư địa phát triển, cần xem xét lại chiến dịch Marketing tại đây.</a:t>
          </a:r>
        </a:p>
        <a:p>
          <a:r>
            <a:rPr lang="vi-VN" sz="2000" b="1">
              <a:latin typeface="+mn-lt"/>
            </a:rPr>
            <a:t>Về vận hành: </a:t>
          </a:r>
          <a:r>
            <a:rPr lang="vi-VN" sz="2000" b="0">
              <a:latin typeface="+mn-lt"/>
            </a:rPr>
            <a:t>Hệ thống Price Audit đã phát hiện một số đơn hàng có </a:t>
          </a:r>
          <a:r>
            <a:rPr lang="vi-VN" sz="2000" b="0">
              <a:solidFill>
                <a:schemeClr val="dk1"/>
              </a:solidFill>
              <a:latin typeface="+mn-lt"/>
              <a:ea typeface="+mn-ea"/>
              <a:cs typeface="+mn-cs"/>
            </a:rPr>
            <a:t>Price_Gap</a:t>
          </a:r>
          <a:r>
            <a:rPr lang="vi-VN" sz="2000" b="0">
              <a:latin typeface="+mn-lt"/>
            </a:rPr>
            <a:t> âm. Cần rà soát lại quy trình áp mã giảm giá của nhân viên bán hàng.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323850</xdr:colOff>
      <xdr:row>8</xdr:row>
      <xdr:rowOff>6350</xdr:rowOff>
    </xdr:from>
    <xdr:to>
      <xdr:col>7</xdr:col>
      <xdr:colOff>603250</xdr:colOff>
      <xdr:row>19</xdr:row>
      <xdr:rowOff>82550</xdr:rowOff>
    </xdr:to>
    <xdr:graphicFrame macro="">
      <xdr:nvGraphicFramePr>
        <xdr:cNvPr id="2" name="Chart 1">
          <a:extLst>
            <a:ext uri="{FF2B5EF4-FFF2-40B4-BE49-F238E27FC236}">
              <a16:creationId xmlns:a16="http://schemas.microsoft.com/office/drawing/2014/main" id="{D530FD18-BF9E-285E-6E60-FF0FFC9D0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317500</xdr:colOff>
      <xdr:row>21</xdr:row>
      <xdr:rowOff>12700</xdr:rowOff>
    </xdr:from>
    <xdr:to>
      <xdr:col>8</xdr:col>
      <xdr:colOff>273050</xdr:colOff>
      <xdr:row>35</xdr:row>
      <xdr:rowOff>177800</xdr:rowOff>
    </xdr:to>
    <xdr:graphicFrame macro="">
      <xdr:nvGraphicFramePr>
        <xdr:cNvPr id="3" name="Chart 2">
          <a:extLst>
            <a:ext uri="{FF2B5EF4-FFF2-40B4-BE49-F238E27FC236}">
              <a16:creationId xmlns:a16="http://schemas.microsoft.com/office/drawing/2014/main" id="{693E33D7-560A-1625-19B3-4361680D6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450850</xdr:colOff>
      <xdr:row>38</xdr:row>
      <xdr:rowOff>31750</xdr:rowOff>
    </xdr:from>
    <xdr:to>
      <xdr:col>8</xdr:col>
      <xdr:colOff>406400</xdr:colOff>
      <xdr:row>53</xdr:row>
      <xdr:rowOff>12700</xdr:rowOff>
    </xdr:to>
    <xdr:graphicFrame macro="">
      <xdr:nvGraphicFramePr>
        <xdr:cNvPr id="4" name="Chart 3">
          <a:extLst>
            <a:ext uri="{FF2B5EF4-FFF2-40B4-BE49-F238E27FC236}">
              <a16:creationId xmlns:a16="http://schemas.microsoft.com/office/drawing/2014/main" id="{634DD7E1-C320-0F66-6D3A-4D1F22291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nBook" refreshedDate="46126.86672824074" createdVersion="8" refreshedVersion="8" minRefreshableVersion="3" recordCount="20" xr:uid="{36020C15-412E-4BB6-94B5-75873A7C587C}">
  <cacheSource type="worksheet">
    <worksheetSource name="Sales_Table"/>
  </cacheSource>
  <cacheFields count="13">
    <cacheField name="Order_ID" numFmtId="0">
      <sharedItems/>
    </cacheField>
    <cacheField name="Order_Date" numFmtId="22">
      <sharedItems containsSemiMixedTypes="0" containsNonDate="0" containsDate="1" containsString="0" minDate="2026-03-01T00:00:00" maxDate="2026-03-21T00:00:00"/>
    </cacheField>
    <cacheField name="Customer_Name" numFmtId="0">
      <sharedItems count="5">
        <s v="Siêu thị WinMart"/>
        <s v="Đại lý Trung Nguyên"/>
        <s v="Cửa hàng H-Tea Q1"/>
        <s v="Lotte Mart"/>
        <s v="Cửa hàng H-Tea Q7"/>
      </sharedItems>
    </cacheField>
    <cacheField name="Customer_Group" numFmtId="0">
      <sharedItems/>
    </cacheField>
    <cacheField name="City" numFmtId="0">
      <sharedItems/>
    </cacheField>
    <cacheField name="Product_Name" numFmtId="0">
      <sharedItems/>
    </cacheField>
    <cacheField name="Category" numFmtId="0">
      <sharedItems/>
    </cacheField>
    <cacheField name="Order_Quantity" numFmtId="0">
      <sharedItems containsSemiMixedTypes="0" containsString="0" containsNumber="1" containsInteger="1" minValue="1" maxValue="10"/>
    </cacheField>
    <cacheField name="Net_Price" numFmtId="0">
      <sharedItems containsSemiMixedTypes="0" containsString="0" containsNumber="1" containsInteger="1" minValue="85000" maxValue="5000000" count="4">
        <n v="5000000"/>
        <n v="3500000"/>
        <n v="250000"/>
        <n v="85000"/>
      </sharedItems>
    </cacheField>
    <cacheField name="Line_Total" numFmtId="0">
      <sharedItems containsSemiMixedTypes="0" containsString="0" containsNumber="1" containsInteger="1" minValue="170000" maxValue="50000000"/>
    </cacheField>
    <cacheField name="Payment_Status" numFmtId="0">
      <sharedItems/>
    </cacheField>
    <cacheField name="Standard_Price" numFmtId="0">
      <sharedItems containsSemiMixedTypes="0" containsString="0" containsNumber="1" containsInteger="1" minValue="110000" maxValue="180000"/>
    </cacheField>
    <cacheField name="Price_Gap" numFmtId="0">
      <sharedItems containsSemiMixedTypes="0" containsString="0" containsNumber="1" containsInteger="1" minValue="-25000" maxValue="482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nBook" refreshedDate="46127.427440509258" backgroundQuery="1" createdVersion="8" refreshedVersion="8" minRefreshableVersion="3" recordCount="0" supportSubquery="1" supportAdvancedDrill="1" xr:uid="{8BE36EBF-C2D2-41B0-8407-17D74E498B58}">
  <cacheSource type="external" connectionId="2"/>
  <cacheFields count="5">
    <cacheField name="[Measures].[Sum of Line_Total]" caption="Sum of Line_Total" numFmtId="0" hierarchy="18" level="32767"/>
    <cacheField name="[Sales_Table].[Product_Name].[Product_Name]" caption="Product_Name" numFmtId="0" hierarchy="5" level="1">
      <sharedItems count="3">
        <s v="Cà Phê Arabica Cầu Đất"/>
        <s v="Cà Phê Robusta Honey"/>
        <s v="Trà Oolong Thượng Hạng"/>
      </sharedItems>
    </cacheField>
    <cacheField name="[Sales_Table].[City].[City]" caption="City" numFmtId="0" hierarchy="4" level="1">
      <sharedItems count="2">
        <s v="Hà Nội"/>
        <s v="TP.HCM"/>
      </sharedItems>
    </cacheField>
    <cacheField name="[Sales_Table].[Order_Date].[Order_Date]" caption="Order_Date" numFmtId="0" hierarchy="1" level="1">
      <sharedItems containsSemiMixedTypes="0" containsNonDate="0" containsString="0"/>
    </cacheField>
    <cacheField name="[Sales_Table].[Loyalty_Rank].[Loyalty_Rank]" caption="Loyalty_Rank" numFmtId="0" hierarchy="13" level="1">
      <sharedItems containsSemiMixedTypes="0" containsNonDate="0" containsString="0"/>
    </cacheField>
  </cacheFields>
  <cacheHierarchies count="19">
    <cacheHierarchy uniqueName="[Sales_Table].[Order_ID]" caption="Order_ID" attribute="1" defaultMemberUniqueName="[Sales_Table].[Order_ID].[All]" allUniqueName="[Sales_Table].[Order_ID].[All]" dimensionUniqueName="[Sales_Table]" displayFolder="" count="2" memberValueDatatype="130" unbalanced="0"/>
    <cacheHierarchy uniqueName="[Sales_Table].[Order_Date]" caption="Order_Date" attribute="1" time="1" defaultMemberUniqueName="[Sales_Table].[Order_Date].[All]" allUniqueName="[Sales_Table].[Order_Date].[All]" dimensionUniqueName="[Sales_Table]" displayFolder="" count="2" memberValueDatatype="7" unbalanced="0">
      <fieldsUsage count="2">
        <fieldUsage x="-1"/>
        <fieldUsage x="3"/>
      </fieldsUsage>
    </cacheHierarchy>
    <cacheHierarchy uniqueName="[Sales_Table].[Customer_Name]" caption="Customer_Name" attribute="1" defaultMemberUniqueName="[Sales_Table].[Customer_Name].[All]" allUniqueName="[Sales_Table].[Customer_Name].[All]" dimensionUniqueName="[Sales_Table]" displayFolder="" count="2" memberValueDatatype="130" unbalanced="0"/>
    <cacheHierarchy uniqueName="[Sales_Table].[Customer_Group]" caption="Customer_Group" attribute="1" defaultMemberUniqueName="[Sales_Table].[Customer_Group].[All]" allUniqueName="[Sales_Table].[Customer_Group].[All]" dimensionUniqueName="[Sales_Table]" displayFolder="" count="2" memberValueDatatype="130" unbalanced="0"/>
    <cacheHierarchy uniqueName="[Sales_Table].[City]" caption="City" attribute="1" defaultMemberUniqueName="[Sales_Table].[City].[All]" allUniqueName="[Sales_Table].[City].[All]" dimensionUniqueName="[Sales_Table]" displayFolder="" count="2" memberValueDatatype="130" unbalanced="0">
      <fieldsUsage count="2">
        <fieldUsage x="-1"/>
        <fieldUsage x="2"/>
      </fieldsUsage>
    </cacheHierarchy>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Category]" caption="Category" attribute="1" defaultMemberUniqueName="[Sales_Table].[Category].[All]" allUniqueName="[Sales_Table].[Category].[All]" dimensionUniqueName="[Sales_Table]" displayFolder="" count="2" memberValueDatatype="130" unbalanced="0"/>
    <cacheHierarchy uniqueName="[Sales_Table].[Order_Quantity]" caption="Order_Quantity" attribute="1" defaultMemberUniqueName="[Sales_Table].[Order_Quantity].[All]" allUniqueName="[Sales_Table].[Order_Quantity].[All]" dimensionUniqueName="[Sales_Table]" displayFolder="" count="2" memberValueDatatype="20" unbalanced="0"/>
    <cacheHierarchy uniqueName="[Sales_Table].[Net_Price]" caption="Net_Price" attribute="1" defaultMemberUniqueName="[Sales_Table].[Net_Price].[All]" allUniqueName="[Sales_Table].[Net_Price].[All]" dimensionUniqueName="[Sales_Table]" displayFolder="" count="2" memberValueDatatype="20" unbalanced="0"/>
    <cacheHierarchy uniqueName="[Sales_Table].[Line_Total]" caption="Line_Total" attribute="1" defaultMemberUniqueName="[Sales_Table].[Line_Total].[All]" allUniqueName="[Sales_Table].[Line_Total].[All]" dimensionUniqueName="[Sales_Table]" displayFolder="" count="2" memberValueDatatype="20" unbalanced="0"/>
    <cacheHierarchy uniqueName="[Sales_Table].[Payment_Status]" caption="Payment_Status" attribute="1" defaultMemberUniqueName="[Sales_Table].[Payment_Status].[All]" allUniqueName="[Sales_Table].[Payment_Status].[All]" dimensionUniqueName="[Sales_Table]" displayFolder="" count="2" memberValueDatatype="130" unbalanced="0"/>
    <cacheHierarchy uniqueName="[Sales_Table].[Standard_Price]" caption="Standard_Price" attribute="1" defaultMemberUniqueName="[Sales_Table].[Standard_Price].[All]" allUniqueName="[Sales_Table].[Standard_Price].[All]" dimensionUniqueName="[Sales_Table]" displayFolder="" count="2" memberValueDatatype="20" unbalanced="0"/>
    <cacheHierarchy uniqueName="[Sales_Table].[Price_Gap]" caption="Price_Gap" attribute="1" defaultMemberUniqueName="[Sales_Table].[Price_Gap].[All]" allUniqueName="[Sales_Table].[Price_Gap].[All]" dimensionUniqueName="[Sales_Table]" displayFolder="" count="2" memberValueDatatype="20" unbalanced="0"/>
    <cacheHierarchy uniqueName="[Sales_Table].[Loyalty_Rank]" caption="Loyalty_Rank" attribute="1" defaultMemberUniqueName="[Sales_Table].[Loyalty_Rank].[All]" allUniqueName="[Sales_Table].[Loyalty_Rank].[All]" dimensionUniqueName="[Sales_Table]" displayFolder="" count="2" memberValueDatatype="130" unbalanced="0">
      <fieldsUsage count="2">
        <fieldUsage x="-1"/>
        <fieldUsage x="4"/>
      </fieldsUsage>
    </cacheHierarchy>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Count of Order_ID]" caption="Count of Order_ID" measure="1" displayFolder="" measureGroup="Sales_Table" count="0" hidden="1">
      <extLst>
        <ext xmlns:x15="http://schemas.microsoft.com/office/spreadsheetml/2010/11/main" uri="{B97F6D7D-B522-45F9-BDA1-12C45D357490}">
          <x15:cacheHierarchy aggregatedColumn="0"/>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2"/>
        </ext>
      </extLst>
    </cacheHierarchy>
    <cacheHierarchy uniqueName="[Measures].[Sum of Line_Total]" caption="Sum of Line_Total" measure="1" displayFolder="" measureGroup="Sales_Table"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Table" uniqueName="[Sales_Table]" caption="Sales_Table"/>
  </dimensions>
  <measureGroups count="1">
    <measureGroup name="Sales_Table" caption="Sales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nBook" refreshedDate="46127.427441666667" backgroundQuery="1" createdVersion="8" refreshedVersion="8" minRefreshableVersion="3" recordCount="0" supportSubquery="1" supportAdvancedDrill="1" xr:uid="{34294C12-50C7-48C9-8024-666F94190443}">
  <cacheSource type="external" connectionId="2"/>
  <cacheFields count="4">
    <cacheField name="[Measures].[Sum of Line_Total]" caption="Sum of Line_Total" numFmtId="0" hierarchy="18" level="32767"/>
    <cacheField name="[Sales_Table].[Product_Name].[Product_Name]" caption="Product_Name" numFmtId="0" hierarchy="5" level="1">
      <sharedItems count="1">
        <s v="Cà Phê Arabica Cầu Đất"/>
      </sharedItems>
    </cacheField>
    <cacheField name="[Sales_Table].[Order_Date].[Order_Date]" caption="Order_Date" numFmtId="0" hierarchy="1" level="1">
      <sharedItems containsSemiMixedTypes="0" containsNonDate="0" containsString="0"/>
    </cacheField>
    <cacheField name="[Sales_Table].[Loyalty_Rank].[Loyalty_Rank]" caption="Loyalty_Rank" numFmtId="0" hierarchy="13" level="1">
      <sharedItems containsSemiMixedTypes="0" containsNonDate="0" containsString="0"/>
    </cacheField>
  </cacheFields>
  <cacheHierarchies count="19">
    <cacheHierarchy uniqueName="[Sales_Table].[Order_ID]" caption="Order_ID" attribute="1" defaultMemberUniqueName="[Sales_Table].[Order_ID].[All]" allUniqueName="[Sales_Table].[Order_ID].[All]" dimensionUniqueName="[Sales_Table]" displayFolder="" count="0" memberValueDatatype="130" unbalanced="0"/>
    <cacheHierarchy uniqueName="[Sales_Table].[Order_Date]" caption="Order_Date" attribute="1" time="1" defaultMemberUniqueName="[Sales_Table].[Order_Date].[All]" allUniqueName="[Sales_Table].[Order_Date].[All]" dimensionUniqueName="[Sales_Table]" displayFolder="" count="2" memberValueDatatype="7" unbalanced="0">
      <fieldsUsage count="2">
        <fieldUsage x="-1"/>
        <fieldUsage x="2"/>
      </fieldsUsage>
    </cacheHierarchy>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ustomer_Group]" caption="Customer_Group" attribute="1" defaultMemberUniqueName="[Sales_Table].[Customer_Group].[All]" allUniqueName="[Sales_Table].[Customer_Group].[All]" dimensionUniqueName="[Sales_Table]" displayFolder="" count="0" memberValueDatatype="130" unbalanced="0"/>
    <cacheHierarchy uniqueName="[Sales_Table].[City]" caption="City" attribute="1" defaultMemberUniqueName="[Sales_Table].[City].[All]" allUniqueName="[Sales_Table].[City].[All]" dimensionUniqueName="[Sales_Table]" displayFolder="" count="2"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Category]" caption="Category" attribute="1" defaultMemberUniqueName="[Sales_Table].[Category].[All]" allUniqueName="[Sales_Table].[Category].[All]" dimensionUniqueName="[Sales_Table]" displayFolder="" count="2" memberValueDatatype="130" unbalanced="0"/>
    <cacheHierarchy uniqueName="[Sales_Table].[Order_Quantity]" caption="Order_Quantity" attribute="1" defaultMemberUniqueName="[Sales_Table].[Order_Quantity].[All]" allUniqueName="[Sales_Table].[Order_Quantity].[All]" dimensionUniqueName="[Sales_Table]" displayFolder="" count="0" memberValueDatatype="20" unbalanced="0"/>
    <cacheHierarchy uniqueName="[Sales_Table].[Net_Price]" caption="Net_Price" attribute="1" defaultMemberUniqueName="[Sales_Table].[Net_Price].[All]" allUniqueName="[Sales_Table].[Net_Price].[All]" dimensionUniqueName="[Sales_Table]" displayFolder="" count="0" memberValueDatatype="20" unbalanced="0"/>
    <cacheHierarchy uniqueName="[Sales_Table].[Line_Total]" caption="Line_Total" attribute="1" defaultMemberUniqueName="[Sales_Table].[Line_Total].[All]" allUniqueName="[Sales_Table].[Line_Total].[All]" dimensionUniqueName="[Sales_Table]" displayFolder="" count="0" memberValueDatatype="20" unbalanced="0"/>
    <cacheHierarchy uniqueName="[Sales_Table].[Payment_Status]" caption="Payment_Status" attribute="1" defaultMemberUniqueName="[Sales_Table].[Payment_Status].[All]" allUniqueName="[Sales_Table].[Payment_Status].[All]" dimensionUniqueName="[Sales_Table]" displayFolder="" count="0" memberValueDatatype="130" unbalanced="0"/>
    <cacheHierarchy uniqueName="[Sales_Table].[Standard_Price]" caption="Standard_Price" attribute="1" defaultMemberUniqueName="[Sales_Table].[Standard_Price].[All]" allUniqueName="[Sales_Table].[Standard_Price].[All]" dimensionUniqueName="[Sales_Table]" displayFolder="" count="0" memberValueDatatype="20" unbalanced="0"/>
    <cacheHierarchy uniqueName="[Sales_Table].[Price_Gap]" caption="Price_Gap" attribute="1" defaultMemberUniqueName="[Sales_Table].[Price_Gap].[All]" allUniqueName="[Sales_Table].[Price_Gap].[All]" dimensionUniqueName="[Sales_Table]" displayFolder="" count="0" memberValueDatatype="20" unbalanced="0"/>
    <cacheHierarchy uniqueName="[Sales_Table].[Loyalty_Rank]" caption="Loyalty_Rank" attribute="1" defaultMemberUniqueName="[Sales_Table].[Loyalty_Rank].[All]" allUniqueName="[Sales_Table].[Loyalty_Rank].[All]" dimensionUniqueName="[Sales_Table]" displayFolder="" count="2" memberValueDatatype="130" unbalanced="0">
      <fieldsUsage count="2">
        <fieldUsage x="-1"/>
        <fieldUsage x="3"/>
      </fieldsUsage>
    </cacheHierarchy>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Count of Order_ID]" caption="Count of Order_ID" measure="1" displayFolder="" measureGroup="Sales_Table" count="0" hidden="1">
      <extLst>
        <ext xmlns:x15="http://schemas.microsoft.com/office/spreadsheetml/2010/11/main" uri="{B97F6D7D-B522-45F9-BDA1-12C45D357490}">
          <x15:cacheHierarchy aggregatedColumn="0"/>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2"/>
        </ext>
      </extLst>
    </cacheHierarchy>
    <cacheHierarchy uniqueName="[Measures].[Sum of Line_Total]" caption="Sum of Line_Total" measure="1" displayFolder="" measureGroup="Sales_Table"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Table" uniqueName="[Sales_Table]" caption="Sales_Table"/>
  </dimensions>
  <measureGroups count="1">
    <measureGroup name="Sales_Table" caption="Sales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nBook" refreshedDate="46127.42744097222" backgroundQuery="1" createdVersion="8" refreshedVersion="8" minRefreshableVersion="3" recordCount="0" supportSubquery="1" supportAdvancedDrill="1" xr:uid="{DE737E77-A403-4E71-A797-F06F1049D1B6}">
  <cacheSource type="external" connectionId="2"/>
  <cacheFields count="3">
    <cacheField name="[Sales_Table].[Loyalty_Rank].[Loyalty_Rank]" caption="Loyalty_Rank" numFmtId="0" hierarchy="13" level="1">
      <sharedItems count="1">
        <s v="Diamond"/>
      </sharedItems>
    </cacheField>
    <cacheField name="[Measures].[Count of Customer_Name]" caption="Count of Customer_Name" numFmtId="0" hierarchy="17" level="32767"/>
    <cacheField name="[Sales_Table].[Order_Date].[Order_Date]" caption="Order_Date" numFmtId="0" hierarchy="1" level="1">
      <sharedItems containsSemiMixedTypes="0" containsNonDate="0" containsString="0"/>
    </cacheField>
  </cacheFields>
  <cacheHierarchies count="19">
    <cacheHierarchy uniqueName="[Sales_Table].[Order_ID]" caption="Order_ID" attribute="1" defaultMemberUniqueName="[Sales_Table].[Order_ID].[All]" allUniqueName="[Sales_Table].[Order_ID].[All]" dimensionUniqueName="[Sales_Table]" displayFolder="" count="0" memberValueDatatype="130" unbalanced="0"/>
    <cacheHierarchy uniqueName="[Sales_Table].[Order_Date]" caption="Order_Date" attribute="1" time="1" defaultMemberUniqueName="[Sales_Table].[Order_Date].[All]" allUniqueName="[Sales_Table].[Order_Date].[All]" dimensionUniqueName="[Sales_Table]" displayFolder="" count="2" memberValueDatatype="7" unbalanced="0">
      <fieldsUsage count="2">
        <fieldUsage x="-1"/>
        <fieldUsage x="2"/>
      </fieldsUsage>
    </cacheHierarchy>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ustomer_Group]" caption="Customer_Group" attribute="1" defaultMemberUniqueName="[Sales_Table].[Customer_Group].[All]" allUniqueName="[Sales_Table].[Customer_Group].[All]" dimensionUniqueName="[Sales_Table]" displayFolder="" count="0" memberValueDatatype="130" unbalanced="0"/>
    <cacheHierarchy uniqueName="[Sales_Table].[City]" caption="City" attribute="1" defaultMemberUniqueName="[Sales_Table].[City].[All]" allUniqueName="[Sales_Table].[City].[All]" dimensionUniqueName="[Sales_Table]" displayFolder="" count="2" memberValueDatatype="130" unbalanced="0"/>
    <cacheHierarchy uniqueName="[Sales_Table].[Product_Name]" caption="Product_Name" attribute="1" defaultMemberUniqueName="[Sales_Table].[Product_Name].[All]" allUniqueName="[Sales_Table].[Product_Name].[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2" memberValueDatatype="130" unbalanced="0"/>
    <cacheHierarchy uniqueName="[Sales_Table].[Order_Quantity]" caption="Order_Quantity" attribute="1" defaultMemberUniqueName="[Sales_Table].[Order_Quantity].[All]" allUniqueName="[Sales_Table].[Order_Quantity].[All]" dimensionUniqueName="[Sales_Table]" displayFolder="" count="0" memberValueDatatype="20" unbalanced="0"/>
    <cacheHierarchy uniqueName="[Sales_Table].[Net_Price]" caption="Net_Price" attribute="1" defaultMemberUniqueName="[Sales_Table].[Net_Price].[All]" allUniqueName="[Sales_Table].[Net_Price].[All]" dimensionUniqueName="[Sales_Table]" displayFolder="" count="0" memberValueDatatype="20" unbalanced="0"/>
    <cacheHierarchy uniqueName="[Sales_Table].[Line_Total]" caption="Line_Total" attribute="1" defaultMemberUniqueName="[Sales_Table].[Line_Total].[All]" allUniqueName="[Sales_Table].[Line_Total].[All]" dimensionUniqueName="[Sales_Table]" displayFolder="" count="0" memberValueDatatype="20" unbalanced="0"/>
    <cacheHierarchy uniqueName="[Sales_Table].[Payment_Status]" caption="Payment_Status" attribute="1" defaultMemberUniqueName="[Sales_Table].[Payment_Status].[All]" allUniqueName="[Sales_Table].[Payment_Status].[All]" dimensionUniqueName="[Sales_Table]" displayFolder="" count="0" memberValueDatatype="130" unbalanced="0"/>
    <cacheHierarchy uniqueName="[Sales_Table].[Standard_Price]" caption="Standard_Price" attribute="1" defaultMemberUniqueName="[Sales_Table].[Standard_Price].[All]" allUniqueName="[Sales_Table].[Standard_Price].[All]" dimensionUniqueName="[Sales_Table]" displayFolder="" count="0" memberValueDatatype="20" unbalanced="0"/>
    <cacheHierarchy uniqueName="[Sales_Table].[Price_Gap]" caption="Price_Gap" attribute="1" defaultMemberUniqueName="[Sales_Table].[Price_Gap].[All]" allUniqueName="[Sales_Table].[Price_Gap].[All]" dimensionUniqueName="[Sales_Table]" displayFolder="" count="0" memberValueDatatype="20" unbalanced="0"/>
    <cacheHierarchy uniqueName="[Sales_Table].[Loyalty_Rank]" caption="Loyalty_Rank" attribute="1" defaultMemberUniqueName="[Sales_Table].[Loyalty_Rank].[All]" allUniqueName="[Sales_Table].[Loyalty_Rank].[All]" dimensionUniqueName="[Sales_Table]" displayFolder="" count="2" memberValueDatatype="130" unbalanced="0">
      <fieldsUsage count="2">
        <fieldUsage x="-1"/>
        <fieldUsage x="0"/>
      </fieldsUsage>
    </cacheHierarchy>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Count of Order_ID]" caption="Count of Order_ID" measure="1" displayFolder="" measureGroup="Sales_Table" count="0" hidden="1">
      <extLst>
        <ext xmlns:x15="http://schemas.microsoft.com/office/spreadsheetml/2010/11/main" uri="{B97F6D7D-B522-45F9-BDA1-12C45D357490}">
          <x15:cacheHierarchy aggregatedColumn="0"/>
        </ext>
      </extLst>
    </cacheHierarchy>
    <cacheHierarchy uniqueName="[Measures].[Count of Customer_Name]" caption="Count of Customer_Name" measure="1" displayFolder="" measureGroup="Sales_Tabl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Line_Total]" caption="Sum of Line_Total" measure="1" displayFolder="" measureGroup="Sales_Tabl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Table" uniqueName="[Sales_Table]" caption="Sales_Table"/>
  </dimensions>
  <measureGroups count="1">
    <measureGroup name="Sales_Table" caption="Sales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nBook" refreshedDate="46127.427441319443" backgroundQuery="1" createdVersion="8" refreshedVersion="8" minRefreshableVersion="3" recordCount="0" supportSubquery="1" supportAdvancedDrill="1" xr:uid="{83C20A02-17EF-42DE-A286-0D5184871122}">
  <cacheSource type="external" connectionId="2"/>
  <cacheFields count="3">
    <cacheField name="[Sales_Table].[Loyalty_Rank].[Loyalty_Rank]" caption="Loyalty_Rank" numFmtId="0" hierarchy="13" level="1">
      <sharedItems count="3">
        <s v="Diamond"/>
        <s v="Gold" u="1"/>
        <s v="Silver" u="1"/>
      </sharedItems>
    </cacheField>
    <cacheField name="[Measures].[Sum of Line_Total]" caption="Sum of Line_Total" numFmtId="0" hierarchy="18" level="32767"/>
    <cacheField name="[Sales_Table].[Order_Date].[Order_Date]" caption="Order_Date" numFmtId="0" hierarchy="1" level="1">
      <sharedItems containsSemiMixedTypes="0" containsNonDate="0" containsString="0"/>
    </cacheField>
  </cacheFields>
  <cacheHierarchies count="19">
    <cacheHierarchy uniqueName="[Sales_Table].[Order_ID]" caption="Order_ID" attribute="1" defaultMemberUniqueName="[Sales_Table].[Order_ID].[All]" allUniqueName="[Sales_Table].[Order_ID].[All]" dimensionUniqueName="[Sales_Table]" displayFolder="" count="0" memberValueDatatype="130" unbalanced="0"/>
    <cacheHierarchy uniqueName="[Sales_Table].[Order_Date]" caption="Order_Date" attribute="1" time="1" defaultMemberUniqueName="[Sales_Table].[Order_Date].[All]" allUniqueName="[Sales_Table].[Order_Date].[All]" dimensionUniqueName="[Sales_Table]" displayFolder="" count="2" memberValueDatatype="7" unbalanced="0">
      <fieldsUsage count="2">
        <fieldUsage x="-1"/>
        <fieldUsage x="2"/>
      </fieldsUsage>
    </cacheHierarchy>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ustomer_Group]" caption="Customer_Group" attribute="1" defaultMemberUniqueName="[Sales_Table].[Customer_Group].[All]" allUniqueName="[Sales_Table].[Customer_Group].[All]" dimensionUniqueName="[Sales_Table]" displayFolder="" count="0" memberValueDatatype="130" unbalanced="0"/>
    <cacheHierarchy uniqueName="[Sales_Table].[City]" caption="City" attribute="1" defaultMemberUniqueName="[Sales_Table].[City].[All]" allUniqueName="[Sales_Table].[City].[All]" dimensionUniqueName="[Sales_Table]" displayFolder="" count="2" memberValueDatatype="130" unbalanced="0"/>
    <cacheHierarchy uniqueName="[Sales_Table].[Product_Name]" caption="Product_Name" attribute="1" defaultMemberUniqueName="[Sales_Table].[Product_Name].[All]" allUniqueName="[Sales_Table].[Product_Name].[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2" memberValueDatatype="130" unbalanced="0"/>
    <cacheHierarchy uniqueName="[Sales_Table].[Order_Quantity]" caption="Order_Quantity" attribute="1" defaultMemberUniqueName="[Sales_Table].[Order_Quantity].[All]" allUniqueName="[Sales_Table].[Order_Quantity].[All]" dimensionUniqueName="[Sales_Table]" displayFolder="" count="0" memberValueDatatype="20" unbalanced="0"/>
    <cacheHierarchy uniqueName="[Sales_Table].[Net_Price]" caption="Net_Price" attribute="1" defaultMemberUniqueName="[Sales_Table].[Net_Price].[All]" allUniqueName="[Sales_Table].[Net_Price].[All]" dimensionUniqueName="[Sales_Table]" displayFolder="" count="0" memberValueDatatype="20" unbalanced="0"/>
    <cacheHierarchy uniqueName="[Sales_Table].[Line_Total]" caption="Line_Total" attribute="1" defaultMemberUniqueName="[Sales_Table].[Line_Total].[All]" allUniqueName="[Sales_Table].[Line_Total].[All]" dimensionUniqueName="[Sales_Table]" displayFolder="" count="0" memberValueDatatype="20" unbalanced="0"/>
    <cacheHierarchy uniqueName="[Sales_Table].[Payment_Status]" caption="Payment_Status" attribute="1" defaultMemberUniqueName="[Sales_Table].[Payment_Status].[All]" allUniqueName="[Sales_Table].[Payment_Status].[All]" dimensionUniqueName="[Sales_Table]" displayFolder="" count="0" memberValueDatatype="130" unbalanced="0"/>
    <cacheHierarchy uniqueName="[Sales_Table].[Standard_Price]" caption="Standard_Price" attribute="1" defaultMemberUniqueName="[Sales_Table].[Standard_Price].[All]" allUniqueName="[Sales_Table].[Standard_Price].[All]" dimensionUniqueName="[Sales_Table]" displayFolder="" count="0" memberValueDatatype="20" unbalanced="0"/>
    <cacheHierarchy uniqueName="[Sales_Table].[Price_Gap]" caption="Price_Gap" attribute="1" defaultMemberUniqueName="[Sales_Table].[Price_Gap].[All]" allUniqueName="[Sales_Table].[Price_Gap].[All]" dimensionUniqueName="[Sales_Table]" displayFolder="" count="0" memberValueDatatype="20" unbalanced="0"/>
    <cacheHierarchy uniqueName="[Sales_Table].[Loyalty_Rank]" caption="Loyalty_Rank" attribute="1" defaultMemberUniqueName="[Sales_Table].[Loyalty_Rank].[All]" allUniqueName="[Sales_Table].[Loyalty_Rank].[All]" dimensionUniqueName="[Sales_Table]" displayFolder="" count="2" memberValueDatatype="130" unbalanced="0">
      <fieldsUsage count="2">
        <fieldUsage x="-1"/>
        <fieldUsage x="0"/>
      </fieldsUsage>
    </cacheHierarchy>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Count of Order_ID]" caption="Count of Order_ID" measure="1" displayFolder="" measureGroup="Sales_Table" count="0" hidden="1">
      <extLst>
        <ext xmlns:x15="http://schemas.microsoft.com/office/spreadsheetml/2010/11/main" uri="{B97F6D7D-B522-45F9-BDA1-12C45D357490}">
          <x15:cacheHierarchy aggregatedColumn="0"/>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2"/>
        </ext>
      </extLst>
    </cacheHierarchy>
    <cacheHierarchy uniqueName="[Measures].[Sum of Line_Total]" caption="Sum of Line_Total" measure="1" displayFolder="" measureGroup="Sales_Tabl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Table" uniqueName="[Sales_Table]" caption="Sales_Table"/>
  </dimensions>
  <measureGroups count="1">
    <measureGroup name="Sales_Table" caption="Sales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nBook" refreshedDate="46126.921156018521" backgroundQuery="1" createdVersion="3" refreshedVersion="8" minRefreshableVersion="3" recordCount="0" supportSubquery="1" supportAdvancedDrill="1" xr:uid="{F3A05C25-A161-427E-A0A2-88B8E1558E96}">
  <cacheSource type="external" connectionId="2">
    <extLst>
      <ext xmlns:x14="http://schemas.microsoft.com/office/spreadsheetml/2009/9/main" uri="{F057638F-6D5F-4e77-A914-E7F072B9BCA8}">
        <x14:sourceConnection name="ThisWorkbookDataModel"/>
      </ext>
    </extLst>
  </cacheSource>
  <cacheFields count="0"/>
  <cacheHierarchies count="19">
    <cacheHierarchy uniqueName="[Sales_Table].[Order_ID]" caption="Order_ID" attribute="1" defaultMemberUniqueName="[Sales_Table].[Order_ID].[All]" allUniqueName="[Sales_Table].[Order_ID].[All]" dimensionUniqueName="[Sales_Table]" displayFolder="" count="0" memberValueDatatype="13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ustomer_Group]" caption="Customer_Group" attribute="1" defaultMemberUniqueName="[Sales_Table].[Customer_Group].[All]" allUniqueName="[Sales_Table].[Customer_Group].[All]" dimensionUniqueName="[Sales_Table]" displayFolder="" count="0" memberValueDatatype="130" unbalanced="0"/>
    <cacheHierarchy uniqueName="[Sales_Table].[City]" caption="City" attribute="1" defaultMemberUniqueName="[Sales_Table].[City].[All]" allUniqueName="[Sales_Table].[City].[All]" dimensionUniqueName="[Sales_Table]" displayFolder="" count="2" memberValueDatatype="130" unbalanced="0"/>
    <cacheHierarchy uniqueName="[Sales_Table].[Product_Name]" caption="Product_Name" attribute="1" defaultMemberUniqueName="[Sales_Table].[Product_Name].[All]" allUniqueName="[Sales_Table].[Product_Name].[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2" memberValueDatatype="130" unbalanced="0"/>
    <cacheHierarchy uniqueName="[Sales_Table].[Order_Quantity]" caption="Order_Quantity" attribute="1" defaultMemberUniqueName="[Sales_Table].[Order_Quantity].[All]" allUniqueName="[Sales_Table].[Order_Quantity].[All]" dimensionUniqueName="[Sales_Table]" displayFolder="" count="0" memberValueDatatype="20" unbalanced="0"/>
    <cacheHierarchy uniqueName="[Sales_Table].[Net_Price]" caption="Net_Price" attribute="1" defaultMemberUniqueName="[Sales_Table].[Net_Price].[All]" allUniqueName="[Sales_Table].[Net_Price].[All]" dimensionUniqueName="[Sales_Table]" displayFolder="" count="0" memberValueDatatype="20" unbalanced="0"/>
    <cacheHierarchy uniqueName="[Sales_Table].[Line_Total]" caption="Line_Total" attribute="1" defaultMemberUniqueName="[Sales_Table].[Line_Total].[All]" allUniqueName="[Sales_Table].[Line_Total].[All]" dimensionUniqueName="[Sales_Table]" displayFolder="" count="0" memberValueDatatype="20" unbalanced="0"/>
    <cacheHierarchy uniqueName="[Sales_Table].[Payment_Status]" caption="Payment_Status" attribute="1" defaultMemberUniqueName="[Sales_Table].[Payment_Status].[All]" allUniqueName="[Sales_Table].[Payment_Status].[All]" dimensionUniqueName="[Sales_Table]" displayFolder="" count="0" memberValueDatatype="130" unbalanced="0"/>
    <cacheHierarchy uniqueName="[Sales_Table].[Standard_Price]" caption="Standard_Price" attribute="1" defaultMemberUniqueName="[Sales_Table].[Standard_Price].[All]" allUniqueName="[Sales_Table].[Standard_Price].[All]" dimensionUniqueName="[Sales_Table]" displayFolder="" count="0" memberValueDatatype="20" unbalanced="0"/>
    <cacheHierarchy uniqueName="[Sales_Table].[Price_Gap]" caption="Price_Gap" attribute="1" defaultMemberUniqueName="[Sales_Table].[Price_Gap].[All]" allUniqueName="[Sales_Table].[Price_Gap].[All]" dimensionUniqueName="[Sales_Table]" displayFolder="" count="0" memberValueDatatype="20" unbalanced="0"/>
    <cacheHierarchy uniqueName="[Sales_Table].[Loyalty_Rank]" caption="Loyalty_Rank" attribute="1" defaultMemberUniqueName="[Sales_Table].[Loyalty_Rank].[All]" allUniqueName="[Sales_Table].[Loyalty_Rank].[All]" dimensionUniqueName="[Sales_Table]" displayFolder="" count="2" memberValueDatatype="130" unbalanced="0"/>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Count of Order_ID]" caption="Count of Order_ID" measure="1" displayFolder="" measureGroup="Sales_Table" count="0" hidden="1">
      <extLst>
        <ext xmlns:x15="http://schemas.microsoft.com/office/spreadsheetml/2010/11/main" uri="{B97F6D7D-B522-45F9-BDA1-12C45D357490}">
          <x15:cacheHierarchy aggregatedColumn="0"/>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2"/>
        </ext>
      </extLst>
    </cacheHierarchy>
    <cacheHierarchy uniqueName="[Measures].[Sum of Line_Total]" caption="Sum of Line_Total" measure="1" displayFolder="" measureGroup="Sales_Tabl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397850843"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nBook" refreshedDate="46126.921978587961" backgroundQuery="1" createdVersion="3" refreshedVersion="8" minRefreshableVersion="3" recordCount="0" supportSubquery="1" supportAdvancedDrill="1" xr:uid="{B08277F5-3A89-4E7B-9EDC-2695EBD1B3FE}">
  <cacheSource type="external" connectionId="2">
    <extLst>
      <ext xmlns:x14="http://schemas.microsoft.com/office/spreadsheetml/2009/9/main" uri="{F057638F-6D5F-4e77-A914-E7F072B9BCA8}">
        <x14:sourceConnection name="ThisWorkbookDataModel"/>
      </ext>
    </extLst>
  </cacheSource>
  <cacheFields count="0"/>
  <cacheHierarchies count="19">
    <cacheHierarchy uniqueName="[Sales_Table].[Order_ID]" caption="Order_ID" attribute="1" defaultMemberUniqueName="[Sales_Table].[Order_ID].[All]" allUniqueName="[Sales_Table].[Order_ID].[All]" dimensionUniqueName="[Sales_Table]" displayFolder="" count="0" memberValueDatatype="130" unbalanced="0"/>
    <cacheHierarchy uniqueName="[Sales_Table].[Order_Date]" caption="Order_Date" attribute="1" time="1" defaultMemberUniqueName="[Sales_Table].[Order_Date].[All]" allUniqueName="[Sales_Table].[Order_Date].[All]" dimensionUniqueName="[Sales_Table]" displayFolder="" count="2" memberValueDatatype="7"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ustomer_Group]" caption="Customer_Group" attribute="1" defaultMemberUniqueName="[Sales_Table].[Customer_Group].[All]" allUniqueName="[Sales_Table].[Customer_Group].[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Order_Quantity]" caption="Order_Quantity" attribute="1" defaultMemberUniqueName="[Sales_Table].[Order_Quantity].[All]" allUniqueName="[Sales_Table].[Order_Quantity].[All]" dimensionUniqueName="[Sales_Table]" displayFolder="" count="0" memberValueDatatype="20" unbalanced="0"/>
    <cacheHierarchy uniqueName="[Sales_Table].[Net_Price]" caption="Net_Price" attribute="1" defaultMemberUniqueName="[Sales_Table].[Net_Price].[All]" allUniqueName="[Sales_Table].[Net_Price].[All]" dimensionUniqueName="[Sales_Table]" displayFolder="" count="0" memberValueDatatype="20" unbalanced="0"/>
    <cacheHierarchy uniqueName="[Sales_Table].[Line_Total]" caption="Line_Total" attribute="1" defaultMemberUniqueName="[Sales_Table].[Line_Total].[All]" allUniqueName="[Sales_Table].[Line_Total].[All]" dimensionUniqueName="[Sales_Table]" displayFolder="" count="0" memberValueDatatype="20" unbalanced="0"/>
    <cacheHierarchy uniqueName="[Sales_Table].[Payment_Status]" caption="Payment_Status" attribute="1" defaultMemberUniqueName="[Sales_Table].[Payment_Status].[All]" allUniqueName="[Sales_Table].[Payment_Status].[All]" dimensionUniqueName="[Sales_Table]" displayFolder="" count="0" memberValueDatatype="130" unbalanced="0"/>
    <cacheHierarchy uniqueName="[Sales_Table].[Standard_Price]" caption="Standard_Price" attribute="1" defaultMemberUniqueName="[Sales_Table].[Standard_Price].[All]" allUniqueName="[Sales_Table].[Standard_Price].[All]" dimensionUniqueName="[Sales_Table]" displayFolder="" count="0" memberValueDatatype="20" unbalanced="0"/>
    <cacheHierarchy uniqueName="[Sales_Table].[Price_Gap]" caption="Price_Gap" attribute="1" defaultMemberUniqueName="[Sales_Table].[Price_Gap].[All]" allUniqueName="[Sales_Table].[Price_Gap].[All]" dimensionUniqueName="[Sales_Table]" displayFolder="" count="0" memberValueDatatype="20" unbalanced="0"/>
    <cacheHierarchy uniqueName="[Sales_Table].[Loyalty_Rank]" caption="Loyalty_Rank" attribute="1" defaultMemberUniqueName="[Sales_Table].[Loyalty_Rank].[All]" allUniqueName="[Sales_Table].[Loyalty_Rank].[All]" dimensionUniqueName="[Sales_Table]" displayFolder="" count="0" memberValueDatatype="130" unbalanced="0"/>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Count of Order_ID]" caption="Count of Order_ID" measure="1" displayFolder="" measureGroup="Sales_Table" count="0" hidden="1">
      <extLst>
        <ext xmlns:x15="http://schemas.microsoft.com/office/spreadsheetml/2010/11/main" uri="{B97F6D7D-B522-45F9-BDA1-12C45D357490}">
          <x15:cacheHierarchy aggregatedColumn="0"/>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2"/>
        </ext>
      </extLst>
    </cacheHierarchy>
    <cacheHierarchy uniqueName="[Measures].[Sum of Line_Total]" caption="Sum of Line_Total" measure="1" displayFolder="" measureGroup="Sales_Tabl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pivotCacheId="153054600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O001"/>
    <d v="2026-03-01T00:00:00"/>
    <x v="0"/>
    <s v="Wholesale"/>
    <s v="Hà Nội"/>
    <s v="Cà Phê Arabica Cầu Đất"/>
    <s v="Coffee"/>
    <n v="3"/>
    <x v="0"/>
    <n v="15000000"/>
    <s v="Paid"/>
    <n v="180000"/>
    <n v="4820000"/>
  </r>
  <r>
    <s v="SO002"/>
    <d v="2026-03-02T00:00:00"/>
    <x v="1"/>
    <s v="Wholesale"/>
    <s v="Buôn Ma Thuột"/>
    <s v="Cà Phê Robusta Honey"/>
    <s v="Coffee"/>
    <n v="2"/>
    <x v="1"/>
    <n v="7000000"/>
    <s v="Unpaid"/>
    <n v="150000"/>
    <n v="3350000"/>
  </r>
  <r>
    <s v="SO003"/>
    <d v="2026-03-03T00:00:00"/>
    <x v="2"/>
    <s v="Retail"/>
    <s v="TP.HCM"/>
    <s v="Trà Oolong Thượng Hạng"/>
    <s v="Tea"/>
    <n v="2"/>
    <x v="2"/>
    <n v="500000"/>
    <s v="Paid"/>
    <n v="120000"/>
    <n v="130000"/>
  </r>
  <r>
    <s v="SO004"/>
    <d v="2026-03-04T00:00:00"/>
    <x v="3"/>
    <s v="Wholesale"/>
    <s v="TP.HCM"/>
    <s v="Cà Phê Arabica Cầu Đất"/>
    <s v="Coffee"/>
    <n v="5"/>
    <x v="0"/>
    <n v="25000000"/>
    <s v="Unpaid"/>
    <n v="180000"/>
    <n v="4820000"/>
  </r>
  <r>
    <s v="SO005"/>
    <d v="2026-03-05T00:00:00"/>
    <x v="4"/>
    <s v="Retail"/>
    <s v="TP.HCM"/>
    <s v="Trà Oolong Thượng Hạng"/>
    <s v="Tea"/>
    <n v="3"/>
    <x v="2"/>
    <n v="750000"/>
    <s v="Paid"/>
    <n v="120000"/>
    <n v="130000"/>
  </r>
  <r>
    <s v="SO006"/>
    <d v="2026-03-06T00:00:00"/>
    <x v="0"/>
    <s v="Wholesale"/>
    <s v="Hà Nội"/>
    <s v="Cà Phê Arabica Cầu Đất"/>
    <s v="Coffee"/>
    <n v="2"/>
    <x v="0"/>
    <n v="10000000"/>
    <s v="Paid"/>
    <n v="180000"/>
    <n v="4820000"/>
  </r>
  <r>
    <s v="SO007"/>
    <d v="2026-03-07T00:00:00"/>
    <x v="1"/>
    <s v="Wholesale"/>
    <s v="Buôn Ma Thuột"/>
    <s v="Cà Phê Robusta Honey"/>
    <s v="Coffee"/>
    <n v="3"/>
    <x v="1"/>
    <n v="10500000"/>
    <s v="Unpaid"/>
    <n v="150000"/>
    <n v="3350000"/>
  </r>
  <r>
    <s v="SO008"/>
    <d v="2026-03-08T00:00:00"/>
    <x v="2"/>
    <s v="Retail"/>
    <s v="TP.HCM"/>
    <s v="Trà Oolong Thượng Hạng"/>
    <s v="Tea"/>
    <n v="1"/>
    <x v="2"/>
    <n v="250000"/>
    <s v="Paid"/>
    <n v="120000"/>
    <n v="130000"/>
  </r>
  <r>
    <s v="SO009"/>
    <d v="2026-03-09T00:00:00"/>
    <x v="3"/>
    <s v="Wholesale"/>
    <s v="TP.HCM"/>
    <s v="Cà Phê Arabica Cầu Đất"/>
    <s v="Coffee"/>
    <n v="3"/>
    <x v="0"/>
    <n v="15000000"/>
    <s v="Unpaid"/>
    <n v="180000"/>
    <n v="4820000"/>
  </r>
  <r>
    <s v="SO010"/>
    <d v="2026-03-10T00:00:00"/>
    <x v="4"/>
    <s v="Retail"/>
    <s v="TP.HCM"/>
    <s v="Trà Oolong Thượng Hạng"/>
    <s v="Tea"/>
    <n v="5"/>
    <x v="2"/>
    <n v="1250000"/>
    <s v="Paid"/>
    <n v="120000"/>
    <n v="130000"/>
  </r>
  <r>
    <s v="SO011"/>
    <d v="2026-03-11T00:00:00"/>
    <x v="0"/>
    <s v="Wholesale"/>
    <s v="Hà Nội"/>
    <s v="Cà Phê Arabica Cầu Đất"/>
    <s v="Coffee"/>
    <n v="1"/>
    <x v="0"/>
    <n v="5000000"/>
    <s v="Paid"/>
    <n v="180000"/>
    <n v="4820000"/>
  </r>
  <r>
    <s v="SO012"/>
    <d v="2026-03-12T00:00:00"/>
    <x v="1"/>
    <s v="Wholesale"/>
    <s v="Buôn Ma Thuột"/>
    <s v="Cà Phê Robusta Honey"/>
    <s v="Coffee"/>
    <n v="1"/>
    <x v="1"/>
    <n v="3500000"/>
    <s v="Unpaid"/>
    <n v="150000"/>
    <n v="3350000"/>
  </r>
  <r>
    <s v="SO013"/>
    <d v="2026-03-13T00:00:00"/>
    <x v="2"/>
    <s v="Retail"/>
    <s v="TP.HCM"/>
    <s v="Trà Sen Túi Lọc"/>
    <s v="Tea"/>
    <n v="10"/>
    <x v="3"/>
    <n v="850000"/>
    <s v="Paid"/>
    <n v="110000"/>
    <n v="-25000"/>
  </r>
  <r>
    <s v="SO014"/>
    <d v="2026-03-14T00:00:00"/>
    <x v="3"/>
    <s v="Wholesale"/>
    <s v="TP.HCM"/>
    <s v="Cà Phê Arabica Cầu Đất"/>
    <s v="Coffee"/>
    <n v="10"/>
    <x v="0"/>
    <n v="50000000"/>
    <s v="Unpaid"/>
    <n v="180000"/>
    <n v="4820000"/>
  </r>
  <r>
    <s v="SO015"/>
    <d v="2026-03-15T00:00:00"/>
    <x v="4"/>
    <s v="Retail"/>
    <s v="TP.HCM"/>
    <s v="Trà Sen Túi Lọc"/>
    <s v="Tea"/>
    <n v="2"/>
    <x v="3"/>
    <n v="170000"/>
    <s v="Paid"/>
    <n v="110000"/>
    <n v="-25000"/>
  </r>
  <r>
    <s v="SO016"/>
    <d v="2026-03-16T00:00:00"/>
    <x v="0"/>
    <s v="Wholesale"/>
    <s v="Hà Nội"/>
    <s v="Cà Phê Arabica Cầu Đất"/>
    <s v="Coffee"/>
    <n v="4"/>
    <x v="0"/>
    <n v="20000000"/>
    <s v="Paid"/>
    <n v="180000"/>
    <n v="4820000"/>
  </r>
  <r>
    <s v="SO017"/>
    <d v="2026-03-17T00:00:00"/>
    <x v="1"/>
    <s v="Wholesale"/>
    <s v="Buôn Ma Thuột"/>
    <s v="Cà Phê Robusta Honey"/>
    <s v="Coffee"/>
    <n v="2"/>
    <x v="1"/>
    <n v="7000000"/>
    <s v="Unpaid"/>
    <n v="150000"/>
    <n v="3350000"/>
  </r>
  <r>
    <s v="SO018"/>
    <d v="2026-03-18T00:00:00"/>
    <x v="2"/>
    <s v="Retail"/>
    <s v="TP.HCM"/>
    <s v="Trà Oolong Thượng Hạng"/>
    <s v="Tea"/>
    <n v="2"/>
    <x v="2"/>
    <n v="500000"/>
    <s v="Paid"/>
    <n v="120000"/>
    <n v="130000"/>
  </r>
  <r>
    <s v="SO019"/>
    <d v="2026-03-19T00:00:00"/>
    <x v="3"/>
    <s v="Wholesale"/>
    <s v="TP.HCM"/>
    <s v="Cà Phê Arabica Cầu Đất"/>
    <s v="Coffee"/>
    <n v="7"/>
    <x v="0"/>
    <n v="35000000"/>
    <s v="Unpaid"/>
    <n v="180000"/>
    <n v="4820000"/>
  </r>
  <r>
    <s v="SO020"/>
    <d v="2026-03-20T00:00:00"/>
    <x v="4"/>
    <s v="Retail"/>
    <s v="TP.HCM"/>
    <s v="Trà Oolong Thượng Hạng"/>
    <s v="Tea"/>
    <n v="1"/>
    <x v="2"/>
    <n v="250000"/>
    <s v="Paid"/>
    <n v="120000"/>
    <n v="13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5F67D1-2409-4C66-8039-6F17A0331FD0}" name="PivotTable9" cacheId="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22:B24" firstHeaderRow="1" firstDataRow="1" firstDataCol="1"/>
  <pivotFields count="4">
    <pivotField dataField="1" subtotalTop="0" showAll="0" defaultSubtotal="0"/>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Line_Total" fld="0"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Sales_Table].[Loyalty_Rank].&amp;[Diamond]"/>
      </members>
    </pivotHierarchy>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0" name="[Sales_Table].[Order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 fld="1" type="count" id="1" iMeasureHier="18">
      <autoFilter ref="A1">
        <filterColumn colId="0">
          <top10 val="3" filterVal="3"/>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45A9BD-5CF3-4EC2-8A1C-2829C2676A6E}" name="PivotTable8" cacheId="4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9:B11" firstHeaderRow="1" firstDataRow="1" firstDataCol="1"/>
  <pivotFields count="3">
    <pivotField axis="axisRow" allDrilled="1" subtotalTop="0" showAll="0" dataSourceSort="1" defaultSubtotal="0" defaultAttributeDrillState="1">
      <items count="3">
        <item s="1" x="0"/>
        <item x="1"/>
        <item x="2"/>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Line_Total" fld="1"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19">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 name="[Sales_Table].[Order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3C4B26-6227-4CAC-A86D-E4A55C2BE817}" name="PivotTable7" cacheId="3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5"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Customer_Name" fld="1" subtotal="count" baseField="0" baseItem="0"/>
  </dataFields>
  <pivotHierarchies count="19">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 name="[Sales_Table].[Order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D380D7-F21C-40D8-97E5-6701572A478A}" name="PivotTable10" cacheId="3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40:B43" firstHeaderRow="1" firstDataRow="1" firstDataCol="1"/>
  <pivotFields count="5">
    <pivotField dataField="1" subtotalTop="0" showAll="0" defaultSubtotal="0"/>
    <pivotField allDrilled="1" subtotalTop="0" showAll="0" measureFilter="1" dataSourceSort="1" defaultSubtotal="0" defaultAttributeDrillState="1">
      <items count="3">
        <item x="0"/>
        <item x="1"/>
        <item x="2"/>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name="Sum of Line_Total" fld="0"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Sales_Table].[Loyalty_Rank].&amp;[Diamond]"/>
      </members>
    </pivotHierarchy>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0" name="[Sales_Table].[Order_Date]">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 fld="1" type="count" id="1" iMeasureHier="18">
      <autoFilter ref="A1">
        <filterColumn colId="0">
          <top10 val="3" filterVal="3"/>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163ABF-EC42-4D31-B33C-B199644EB1F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3">
    <pivotField showAll="0"/>
    <pivotField numFmtId="22" showAll="0"/>
    <pivotField showAll="0">
      <items count="6">
        <item x="2"/>
        <item x="4"/>
        <item x="1"/>
        <item x="3"/>
        <item x="0"/>
        <item t="default"/>
      </items>
    </pivotField>
    <pivotField showAll="0"/>
    <pivotField showAll="0"/>
    <pivotField showAll="0"/>
    <pivotField showAll="0"/>
    <pivotField showAll="0"/>
    <pivotField showAll="0">
      <items count="5">
        <item x="3"/>
        <item x="2"/>
        <item x="1"/>
        <item x="0"/>
        <item t="default"/>
      </items>
    </pivotField>
    <pivotField dataField="1" showAll="0"/>
    <pivotField showAll="0"/>
    <pivotField showAll="0"/>
    <pivotField showAll="0"/>
  </pivotFields>
  <rowItems count="1">
    <i/>
  </rowItems>
  <colItems count="1">
    <i/>
  </colItems>
  <dataFields count="1">
    <dataField name="Sum of Line_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5DF2D9-3CAB-45DA-BA27-AF39C87911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7" firstHeaderRow="1" firstDataRow="1" firstDataCol="1"/>
  <pivotFields count="13">
    <pivotField showAll="0"/>
    <pivotField numFmtId="22" showAll="0"/>
    <pivotField axis="axisRow" showAll="0">
      <items count="6">
        <item x="2"/>
        <item x="4"/>
        <item x="1"/>
        <item x="3"/>
        <item x="0"/>
        <item t="default"/>
      </items>
    </pivotField>
    <pivotField showAll="0"/>
    <pivotField showAll="0"/>
    <pivotField showAll="0"/>
    <pivotField showAll="0"/>
    <pivotField showAll="0"/>
    <pivotField showAll="0"/>
    <pivotField dataField="1" showAll="0"/>
    <pivotField showAll="0"/>
    <pivotField showAll="0"/>
    <pivotField showAll="0"/>
  </pivotFields>
  <rowFields count="1">
    <field x="2"/>
  </rowFields>
  <rowItems count="6">
    <i>
      <x/>
    </i>
    <i>
      <x v="1"/>
    </i>
    <i>
      <x v="2"/>
    </i>
    <i>
      <x v="3"/>
    </i>
    <i>
      <x v="4"/>
    </i>
    <i t="grand">
      <x/>
    </i>
  </rowItems>
  <colItems count="1">
    <i/>
  </colItems>
  <dataFields count="1">
    <dataField name="Sum of Line_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3CBB26-B08D-43C8-B272-878ADFE0F7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13">
    <pivotField dataField="1" showAll="0"/>
    <pivotField numFmtId="22" showAll="0"/>
    <pivotField showAll="0">
      <items count="6">
        <item x="2"/>
        <item x="4"/>
        <item x="1"/>
        <item x="3"/>
        <item x="0"/>
        <item t="default"/>
      </items>
    </pivotField>
    <pivotField showAll="0"/>
    <pivotField showAll="0"/>
    <pivotField showAll="0"/>
    <pivotField showAll="0"/>
    <pivotField showAll="0"/>
    <pivotField showAll="0">
      <items count="5">
        <item x="3"/>
        <item x="2"/>
        <item x="1"/>
        <item x="0"/>
        <item t="default"/>
      </items>
    </pivotField>
    <pivotField showAll="0"/>
    <pivotField showAll="0"/>
    <pivotField showAll="0"/>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770308-C264-49A8-B71F-2CC7397C21C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3">
    <pivotField dataField="1" showAll="0"/>
    <pivotField numFmtId="22" showAll="0"/>
    <pivotField showAll="0">
      <items count="6">
        <item x="2"/>
        <item x="4"/>
        <item x="1"/>
        <item x="3"/>
        <item x="0"/>
        <item t="default"/>
      </items>
    </pivotField>
    <pivotField showAll="0"/>
    <pivotField showAll="0"/>
    <pivotField showAll="0"/>
    <pivotField showAll="0"/>
    <pivotField showAll="0"/>
    <pivotField showAll="0">
      <items count="5">
        <item x="3"/>
        <item x="2"/>
        <item x="1"/>
        <item x="0"/>
        <item t="default"/>
      </items>
    </pivotField>
    <pivotField showAll="0"/>
    <pivotField showAll="0"/>
    <pivotField showAll="0"/>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A0E7D0D-FF26-43A0-8545-2E6232C2956A}" autoFormatId="16" applyNumberFormats="0" applyBorderFormats="0" applyFontFormats="0" applyPatternFormats="0" applyAlignmentFormats="0" applyWidthHeightFormats="0">
  <queryTableRefresh nextId="15" unboundColumnsRight="3">
    <queryTableFields count="14">
      <queryTableField id="1" name="Order_ID" tableColumnId="1"/>
      <queryTableField id="2" name="Order_Date" tableColumnId="2"/>
      <queryTableField id="3" name="Customer_Name" tableColumnId="3"/>
      <queryTableField id="4" name="Customer_Group" tableColumnId="4"/>
      <queryTableField id="5" name="City" tableColumnId="5"/>
      <queryTableField id="6" name="Product_Name" tableColumnId="6"/>
      <queryTableField id="7" name="Category" tableColumnId="7"/>
      <queryTableField id="8" name="Order_Quantity" tableColumnId="8"/>
      <queryTableField id="9" name="Net_Price" tableColumnId="9"/>
      <queryTableField id="10" name="Line_Total" tableColumnId="10"/>
      <queryTableField id="11" name="Payment_Status" tableColumnId="11"/>
      <queryTableField id="12" dataBound="0" tableColumnId="12"/>
      <queryTableField id="13" dataBound="0"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7E9CB67-86F7-4615-B4E1-C02F0CE30D77}" sourceName="[Sales_Table].[City]">
  <pivotTables>
    <pivotTable tabId="9" name="PivotTable10"/>
    <pivotTable tabId="9" name="PivotTable7"/>
    <pivotTable tabId="9" name="PivotTable8"/>
    <pivotTable tabId="9" name="PivotTable9"/>
  </pivotTables>
  <data>
    <olap pivotCacheId="397850843">
      <levels count="2">
        <level uniqueName="[Sales_Table].[City].[(All)]" sourceCaption="(All)" count="0"/>
        <level uniqueName="[Sales_Table].[City].[City]" sourceCaption="City" count="3">
          <ranges>
            <range startItem="0">
              <i n="[Sales_Table].[City].&amp;[Hà Nội]" c="Hà Nội"/>
              <i n="[Sales_Table].[City].&amp;[TP.HCM]" c="TP.HCM"/>
              <i n="[Sales_Table].[City].&amp;[Buôn Ma Thuột]" c="Buôn Ma Thuột" nd="1"/>
            </range>
          </ranges>
        </level>
      </levels>
      <selections count="1">
        <selection n="[Sales_Table].[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EC28E6-E862-4FBD-881E-CDB46B86E75F}" sourceName="[Sales_Table].[Category]">
  <pivotTables>
    <pivotTable tabId="9" name="PivotTable10"/>
    <pivotTable tabId="9" name="PivotTable7"/>
    <pivotTable tabId="9" name="PivotTable8"/>
    <pivotTable tabId="9" name="PivotTable9"/>
  </pivotTables>
  <data>
    <olap pivotCacheId="397850843">
      <levels count="2">
        <level uniqueName="[Sales_Table].[Category].[(All)]" sourceCaption="(All)" count="0"/>
        <level uniqueName="[Sales_Table].[Category].[Category]" sourceCaption="Category" count="2">
          <ranges>
            <range startItem="0">
              <i n="[Sales_Table].[Category].&amp;[Coffee]" c="Coffee"/>
              <i n="[Sales_Table].[Category].&amp;[Tea]" c="Tea" nd="1"/>
            </range>
          </ranges>
        </level>
      </levels>
      <selections count="1">
        <selection n="[Sales_Table].[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Rank" xr10:uid="{ED1634ED-56C3-43D5-A46D-6AF67627BF46}" sourceName="[Sales_Table].[Loyalty_Rank]">
  <pivotTables>
    <pivotTable tabId="9" name="PivotTable10"/>
    <pivotTable tabId="9" name="PivotTable7"/>
    <pivotTable tabId="9" name="PivotTable8"/>
    <pivotTable tabId="9" name="PivotTable9"/>
  </pivotTables>
  <data>
    <olap pivotCacheId="397850843">
      <levels count="2">
        <level uniqueName="[Sales_Table].[Loyalty_Rank].[(All)]" sourceCaption="(All)" count="0"/>
        <level uniqueName="[Sales_Table].[Loyalty_Rank].[Loyalty_Rank]" sourceCaption="Loyalty_Rank" count="3">
          <ranges>
            <range startItem="0">
              <i n="[Sales_Table].[Loyalty_Rank].&amp;[Diamond]" c="Diamond"/>
              <i n="[Sales_Table].[Loyalty_Rank].&amp;[Gold]" c="Gold"/>
              <i n="[Sales_Table].[Loyalty_Rank].&amp;[Silver]" c="Silver"/>
            </range>
          </ranges>
        </level>
      </levels>
      <selections count="1">
        <selection n="[Sales_Table].[Loyalty_Rank].&amp;[Diamon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DDD4DCD-620E-4CFE-9280-585971A36D9D}" cache="Slicer_City" caption="City" level="1" style="SlicerStyleLight6" rowHeight="251883"/>
  <slicer name="Category" xr10:uid="{2547025D-DA35-48E3-89EB-5D7475B8AEAE}" cache="Slicer_Category" caption="Category" level="1" style="SlicerStyleLight6" rowHeight="251883"/>
  <slicer name="Loyalty_Rank" xr10:uid="{61C6E5E0-6D63-4BF9-AF34-F34D56CB9811}" cache="Slicer_Loyalty_Rank" caption="Loyalty_Rank" level="1" style="SlicerStyleLight6"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3AEC5F-879A-4D40-B0D2-CDFE8A4EDC19}" name="Sales_Table" displayName="Sales_Table" ref="A1:N21" tableType="queryTable" totalsRowShown="0">
  <autoFilter ref="A1:N21" xr:uid="{F93AEC5F-879A-4D40-B0D2-CDFE8A4EDC19}"/>
  <tableColumns count="14">
    <tableColumn id="1" xr3:uid="{4526FF6C-6621-43C5-B8D3-3BFE8D915DF0}" uniqueName="1" name="Order_ID" queryTableFieldId="1" dataDxfId="16"/>
    <tableColumn id="2" xr3:uid="{243B4860-6CCF-43AE-BAE7-9722DA9EBF5D}" uniqueName="2" name="Order_Date" queryTableFieldId="2" dataDxfId="15"/>
    <tableColumn id="3" xr3:uid="{100F79F6-5E4E-40E9-B89B-58BA3480A73A}" uniqueName="3" name="Customer_Name" queryTableFieldId="3" dataDxfId="14"/>
    <tableColumn id="4" xr3:uid="{3FCD0927-2596-47B3-9019-773C51DE39EC}" uniqueName="4" name="Customer_Group" queryTableFieldId="4" dataDxfId="13"/>
    <tableColumn id="5" xr3:uid="{69A6239A-9FE0-4A51-973E-1757CD30E1A8}" uniqueName="5" name="City" queryTableFieldId="5" dataDxfId="12"/>
    <tableColumn id="6" xr3:uid="{6D3A7CE7-0A03-44EA-A335-3D42CAE4BACA}" uniqueName="6" name="Product_Name" queryTableFieldId="6" dataDxfId="11"/>
    <tableColumn id="7" xr3:uid="{2020A50E-B0E7-4834-8312-7F5F4AFC450F}" uniqueName="7" name="Category" queryTableFieldId="7" dataDxfId="10"/>
    <tableColumn id="8" xr3:uid="{4D7350CE-9171-450A-9703-98DD040E1D6E}" uniqueName="8" name="Order_Quantity" queryTableFieldId="8"/>
    <tableColumn id="9" xr3:uid="{05B0A20B-1555-4CB5-A503-6E513B084709}" uniqueName="9" name="Net_Price" queryTableFieldId="9"/>
    <tableColumn id="10" xr3:uid="{0979B0D5-6F43-4593-BA81-15A2EC95280A}" uniqueName="10" name="Line_Total" queryTableFieldId="10"/>
    <tableColumn id="11" xr3:uid="{0F4B9281-F305-48A0-A853-1F024F4E59BE}" uniqueName="11" name="Payment_Status" queryTableFieldId="11" dataDxfId="9"/>
    <tableColumn id="12" xr3:uid="{0C7B81C0-A6F0-4A05-8CCC-01AD6D3C575C}" uniqueName="12" name="Standard_Price" queryTableFieldId="12" dataDxfId="8">
      <calculatedColumnFormula>_xlfn.XLOOKUP(Sales_Table[[#This Row],[Product_Name]], Price_List[Product_Name], Price_List[Standard_Price], 0)</calculatedColumnFormula>
    </tableColumn>
    <tableColumn id="13" xr3:uid="{3FCDC095-7FC3-43F1-84C3-E330587D7793}" uniqueName="13" name="Price_Gap" queryTableFieldId="13" dataDxfId="7">
      <calculatedColumnFormula>Sales_Table[[#This Row],[Net_Price]] - Sales_Table[[#This Row],[Standard_Price]]</calculatedColumnFormula>
    </tableColumn>
    <tableColumn id="14" xr3:uid="{5EC8920F-874F-4E62-8202-65DE339C19A5}" uniqueName="14" name="Loyalty_Rank" queryTableFieldId="14" dataDxfId="6">
      <calculatedColumnFormula>_xlfn.XLOOKUP(Sales_Table[[#This Row],[Customer_Name]],Calculations!$A$2:$A$6,Calculations!$C$2:$C$6)</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708472-AA68-4F0E-B47A-EE44D1FCFBA7}" name="Table4" displayName="Table4" ref="A2:A7" headerRowCount="0" totalsRowShown="0">
  <tableColumns count="1">
    <tableColumn id="1" xr3:uid="{5D2201E4-2F39-49C3-854A-7BA38A7CF7AF}" name="Column1" dataDxfId="5"/>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BE1010-381D-4D52-A0F8-CBE3AD3A6154}" name="Table5" displayName="Table5" ref="C2:C4" headerRowCount="0" totalsRowShown="0">
  <tableColumns count="1">
    <tableColumn id="1" xr3:uid="{D1DAA0AB-81A1-4496-AB6A-6F909A19DDED}" name="Column1" dataDxfId="4"/>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B20FAC0-3806-4EAA-A343-78A72A875A5B}" name="Table6" displayName="Table6" ref="E2:E5" headerRowCount="0" totalsRowShown="0">
  <tableColumns count="1">
    <tableColumn id="1" xr3:uid="{6E01F20B-2F8E-4DE8-917F-B890F7951BFA}" name="Column1" dataDxfId="3"/>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CE7D6F5-45C3-4164-8604-6034E59D6F8E}" name="Table7" displayName="Table7" ref="G2:G6" headerRowCount="0" totalsRowShown="0">
  <tableColumns count="1">
    <tableColumn id="1" xr3:uid="{044899FD-1E3B-44DE-B484-19C21085336B}" name="Column1" dataDxfId="2"/>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CF024C-D907-490D-8920-EE659A35B9DE}" name="Price_List" displayName="Price_List" ref="A1:B6" totalsRowShown="0">
  <autoFilter ref="A1:B6" xr:uid="{EECF024C-D907-490D-8920-EE659A35B9DE}"/>
  <tableColumns count="2">
    <tableColumn id="1" xr3:uid="{2B04B70D-78EB-4116-B5B0-CAC30D9DA496}" name="Product_Name"/>
    <tableColumn id="2" xr3:uid="{DC461A93-8073-4754-A291-43AC77129F88}" name="Standard_Price" dataDxfId="1"/>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217762C-A49A-42F5-BCF3-7A4C08549FD2}" sourceName="[Sales_Table].[Order_Date]">
  <pivotTables>
    <pivotTable tabId="9" name="PivotTable10"/>
    <pivotTable tabId="9" name="PivotTable7"/>
    <pivotTable tabId="9" name="PivotTable8"/>
    <pivotTable tabId="9" name="PivotTable9"/>
  </pivotTables>
  <state minimalRefreshVersion="6" lastRefreshVersion="6" pivotCacheId="1530546008" filterType="dateBetween">
    <selection startDate="2026-03-01T00:00:00" endDate="2026-03-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83C3E6B-AA75-477A-9DAC-870271D648F4}" cache="Timeline_Order_Date" caption="Order_Date" level="2" selectionLevel="2" scrollPosition="2026-03-0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58701-2D15-4731-9E2C-BC1740A62C19}">
  <dimension ref="A1:N21"/>
  <sheetViews>
    <sheetView zoomScale="90" workbookViewId="0">
      <selection activeCell="L3" sqref="L3"/>
    </sheetView>
  </sheetViews>
  <sheetFormatPr defaultRowHeight="14.5" x14ac:dyDescent="0.35"/>
  <cols>
    <col min="1" max="1" width="10.36328125" bestFit="1" customWidth="1"/>
    <col min="2" max="2" width="12.453125" style="4" bestFit="1" customWidth="1"/>
    <col min="3" max="3" width="17.08984375" bestFit="1" customWidth="1"/>
    <col min="4" max="4" width="17.26953125" bestFit="1" customWidth="1"/>
    <col min="5" max="5" width="12.6328125" bestFit="1" customWidth="1"/>
    <col min="6" max="6" width="20.453125" bestFit="1" customWidth="1"/>
    <col min="7" max="7" width="10.453125" bestFit="1" customWidth="1"/>
    <col min="8" max="8" width="15.81640625" bestFit="1" customWidth="1"/>
    <col min="9" max="9" width="11.08984375" bestFit="1" customWidth="1"/>
    <col min="10" max="10" width="11.54296875" bestFit="1" customWidth="1"/>
    <col min="11" max="11" width="16.7265625" bestFit="1" customWidth="1"/>
    <col min="12" max="12" width="19.08984375" customWidth="1"/>
    <col min="13" max="13" width="20.453125" bestFit="1" customWidth="1"/>
    <col min="14" max="14" width="14.36328125" bestFit="1" customWidth="1"/>
  </cols>
  <sheetData>
    <row r="1" spans="1:14" x14ac:dyDescent="0.35">
      <c r="A1" t="s">
        <v>0</v>
      </c>
      <c r="B1" s="4" t="s">
        <v>1</v>
      </c>
      <c r="C1" t="s">
        <v>2</v>
      </c>
      <c r="D1" t="s">
        <v>3</v>
      </c>
      <c r="E1" t="s">
        <v>4</v>
      </c>
      <c r="F1" t="s">
        <v>5</v>
      </c>
      <c r="G1" t="s">
        <v>6</v>
      </c>
      <c r="H1" t="s">
        <v>7</v>
      </c>
      <c r="I1" t="s">
        <v>8</v>
      </c>
      <c r="J1" t="s">
        <v>9</v>
      </c>
      <c r="K1" t="s">
        <v>10</v>
      </c>
      <c r="L1" t="s">
        <v>47</v>
      </c>
      <c r="M1" t="s">
        <v>50</v>
      </c>
      <c r="N1" t="s">
        <v>55</v>
      </c>
    </row>
    <row r="2" spans="1:14" x14ac:dyDescent="0.35">
      <c r="A2" t="s">
        <v>11</v>
      </c>
      <c r="B2" s="4">
        <v>46082</v>
      </c>
      <c r="C2" t="s">
        <v>12</v>
      </c>
      <c r="D2" t="s">
        <v>13</v>
      </c>
      <c r="E2" t="s">
        <v>14</v>
      </c>
      <c r="F2" t="s">
        <v>48</v>
      </c>
      <c r="G2" t="s">
        <v>15</v>
      </c>
      <c r="H2">
        <v>3</v>
      </c>
      <c r="I2">
        <v>5000000</v>
      </c>
      <c r="J2">
        <v>15000000</v>
      </c>
      <c r="K2" t="s">
        <v>16</v>
      </c>
      <c r="L2">
        <f>_xlfn.XLOOKUP(Sales_Table[[#This Row],[Product_Name]], Price_List[Product_Name], Price_List[Standard_Price], 0)</f>
        <v>180000</v>
      </c>
      <c r="M2">
        <f>Sales_Table[[#This Row],[Net_Price]] - Sales_Table[[#This Row],[Standard_Price]]</f>
        <v>4820000</v>
      </c>
      <c r="N2" t="str">
        <f>_xlfn.XLOOKUP(Sales_Table[[#This Row],[Customer_Name]],Calculations!$A$2:$A$6,Calculations!$C$2:$C$6)</f>
        <v>Diamond</v>
      </c>
    </row>
    <row r="3" spans="1:14" x14ac:dyDescent="0.35">
      <c r="A3" t="s">
        <v>17</v>
      </c>
      <c r="B3" s="4">
        <v>46083</v>
      </c>
      <c r="C3" t="s">
        <v>18</v>
      </c>
      <c r="D3" t="s">
        <v>13</v>
      </c>
      <c r="E3" t="s">
        <v>19</v>
      </c>
      <c r="F3" t="s">
        <v>49</v>
      </c>
      <c r="G3" t="s">
        <v>15</v>
      </c>
      <c r="H3">
        <v>2</v>
      </c>
      <c r="I3">
        <v>3500000</v>
      </c>
      <c r="J3">
        <v>7000000</v>
      </c>
      <c r="K3" t="s">
        <v>20</v>
      </c>
      <c r="L3">
        <f>_xlfn.XLOOKUP(Sales_Table[[#This Row],[Product_Name]], Price_List[Product_Name], Price_List[Standard_Price], 0)</f>
        <v>150000</v>
      </c>
      <c r="M3">
        <f>Sales_Table[[#This Row],[Net_Price]] - Sales_Table[[#This Row],[Standard_Price]]</f>
        <v>3350000</v>
      </c>
      <c r="N3" t="str">
        <f>_xlfn.XLOOKUP(Sales_Table[[#This Row],[Customer_Name]],Calculations!$A$2:$A$6,Calculations!$C$2:$C$6)</f>
        <v>Gold</v>
      </c>
    </row>
    <row r="4" spans="1:14" x14ac:dyDescent="0.35">
      <c r="A4" t="s">
        <v>21</v>
      </c>
      <c r="B4" s="4">
        <v>46084</v>
      </c>
      <c r="C4" t="s">
        <v>22</v>
      </c>
      <c r="D4" t="s">
        <v>23</v>
      </c>
      <c r="E4" t="s">
        <v>24</v>
      </c>
      <c r="F4" t="s">
        <v>25</v>
      </c>
      <c r="G4" t="s">
        <v>26</v>
      </c>
      <c r="H4">
        <v>2</v>
      </c>
      <c r="I4">
        <v>250000</v>
      </c>
      <c r="J4">
        <v>500000</v>
      </c>
      <c r="K4" t="s">
        <v>16</v>
      </c>
      <c r="L4">
        <f>_xlfn.XLOOKUP(Sales_Table[[#This Row],[Product_Name]], Price_List[Product_Name], Price_List[Standard_Price], 0)</f>
        <v>120000</v>
      </c>
      <c r="M4">
        <f>Sales_Table[[#This Row],[Net_Price]] - Sales_Table[[#This Row],[Standard_Price]]</f>
        <v>130000</v>
      </c>
      <c r="N4" t="str">
        <f>_xlfn.XLOOKUP(Sales_Table[[#This Row],[Customer_Name]],Calculations!$A$2:$A$6,Calculations!$C$2:$C$6)</f>
        <v>Silver</v>
      </c>
    </row>
    <row r="5" spans="1:14" x14ac:dyDescent="0.35">
      <c r="A5" t="s">
        <v>27</v>
      </c>
      <c r="B5" s="4">
        <v>46085</v>
      </c>
      <c r="C5" t="s">
        <v>28</v>
      </c>
      <c r="D5" t="s">
        <v>13</v>
      </c>
      <c r="E5" t="s">
        <v>24</v>
      </c>
      <c r="F5" t="s">
        <v>48</v>
      </c>
      <c r="G5" t="s">
        <v>15</v>
      </c>
      <c r="H5">
        <v>5</v>
      </c>
      <c r="I5">
        <v>5000000</v>
      </c>
      <c r="J5">
        <v>25000000</v>
      </c>
      <c r="K5" t="s">
        <v>20</v>
      </c>
      <c r="L5">
        <f>_xlfn.XLOOKUP(Sales_Table[[#This Row],[Product_Name]], Price_List[Product_Name], Price_List[Standard_Price], 0)</f>
        <v>180000</v>
      </c>
      <c r="M5">
        <f>Sales_Table[[#This Row],[Net_Price]] - Sales_Table[[#This Row],[Standard_Price]]</f>
        <v>4820000</v>
      </c>
      <c r="N5" t="str">
        <f>_xlfn.XLOOKUP(Sales_Table[[#This Row],[Customer_Name]],Calculations!$A$2:$A$6,Calculations!$C$2:$C$6)</f>
        <v>Diamond</v>
      </c>
    </row>
    <row r="6" spans="1:14" x14ac:dyDescent="0.35">
      <c r="A6" t="s">
        <v>29</v>
      </c>
      <c r="B6" s="4">
        <v>46086</v>
      </c>
      <c r="C6" t="s">
        <v>30</v>
      </c>
      <c r="D6" t="s">
        <v>23</v>
      </c>
      <c r="E6" t="s">
        <v>24</v>
      </c>
      <c r="F6" t="s">
        <v>25</v>
      </c>
      <c r="G6" t="s">
        <v>26</v>
      </c>
      <c r="H6">
        <v>3</v>
      </c>
      <c r="I6">
        <v>250000</v>
      </c>
      <c r="J6">
        <v>750000</v>
      </c>
      <c r="K6" t="s">
        <v>16</v>
      </c>
      <c r="L6">
        <f>_xlfn.XLOOKUP(Sales_Table[[#This Row],[Product_Name]], Price_List[Product_Name], Price_List[Standard_Price], 0)</f>
        <v>120000</v>
      </c>
      <c r="M6">
        <f>Sales_Table[[#This Row],[Net_Price]] - Sales_Table[[#This Row],[Standard_Price]]</f>
        <v>130000</v>
      </c>
      <c r="N6" t="str">
        <f>_xlfn.XLOOKUP(Sales_Table[[#This Row],[Customer_Name]],Calculations!$A$2:$A$6,Calculations!$C$2:$C$6)</f>
        <v>Silver</v>
      </c>
    </row>
    <row r="7" spans="1:14" x14ac:dyDescent="0.35">
      <c r="A7" t="s">
        <v>31</v>
      </c>
      <c r="B7" s="4">
        <v>46087</v>
      </c>
      <c r="C7" t="s">
        <v>12</v>
      </c>
      <c r="D7" t="s">
        <v>13</v>
      </c>
      <c r="E7" t="s">
        <v>14</v>
      </c>
      <c r="F7" t="s">
        <v>48</v>
      </c>
      <c r="G7" t="s">
        <v>15</v>
      </c>
      <c r="H7">
        <v>2</v>
      </c>
      <c r="I7">
        <v>5000000</v>
      </c>
      <c r="J7">
        <v>10000000</v>
      </c>
      <c r="K7" t="s">
        <v>16</v>
      </c>
      <c r="L7">
        <f>_xlfn.XLOOKUP(Sales_Table[[#This Row],[Product_Name]], Price_List[Product_Name], Price_List[Standard_Price], 0)</f>
        <v>180000</v>
      </c>
      <c r="M7">
        <f>Sales_Table[[#This Row],[Net_Price]] - Sales_Table[[#This Row],[Standard_Price]]</f>
        <v>4820000</v>
      </c>
      <c r="N7" t="str">
        <f>_xlfn.XLOOKUP(Sales_Table[[#This Row],[Customer_Name]],Calculations!$A$2:$A$6,Calculations!$C$2:$C$6)</f>
        <v>Diamond</v>
      </c>
    </row>
    <row r="8" spans="1:14" x14ac:dyDescent="0.35">
      <c r="A8" t="s">
        <v>32</v>
      </c>
      <c r="B8" s="4">
        <v>46088</v>
      </c>
      <c r="C8" t="s">
        <v>18</v>
      </c>
      <c r="D8" t="s">
        <v>13</v>
      </c>
      <c r="E8" t="s">
        <v>19</v>
      </c>
      <c r="F8" t="s">
        <v>49</v>
      </c>
      <c r="G8" t="s">
        <v>15</v>
      </c>
      <c r="H8">
        <v>3</v>
      </c>
      <c r="I8">
        <v>3500000</v>
      </c>
      <c r="J8">
        <v>10500000</v>
      </c>
      <c r="K8" t="s">
        <v>20</v>
      </c>
      <c r="L8">
        <f>_xlfn.XLOOKUP(Sales_Table[[#This Row],[Product_Name]], Price_List[Product_Name], Price_List[Standard_Price], 0)</f>
        <v>150000</v>
      </c>
      <c r="M8">
        <f>Sales_Table[[#This Row],[Net_Price]] - Sales_Table[[#This Row],[Standard_Price]]</f>
        <v>3350000</v>
      </c>
      <c r="N8" t="str">
        <f>_xlfn.XLOOKUP(Sales_Table[[#This Row],[Customer_Name]],Calculations!$A$2:$A$6,Calculations!$C$2:$C$6)</f>
        <v>Gold</v>
      </c>
    </row>
    <row r="9" spans="1:14" x14ac:dyDescent="0.35">
      <c r="A9" t="s">
        <v>33</v>
      </c>
      <c r="B9" s="4">
        <v>46089</v>
      </c>
      <c r="C9" t="s">
        <v>22</v>
      </c>
      <c r="D9" t="s">
        <v>23</v>
      </c>
      <c r="E9" t="s">
        <v>24</v>
      </c>
      <c r="F9" t="s">
        <v>25</v>
      </c>
      <c r="G9" t="s">
        <v>26</v>
      </c>
      <c r="H9">
        <v>1</v>
      </c>
      <c r="I9">
        <v>250000</v>
      </c>
      <c r="J9">
        <v>250000</v>
      </c>
      <c r="K9" t="s">
        <v>16</v>
      </c>
      <c r="L9">
        <f>_xlfn.XLOOKUP(Sales_Table[[#This Row],[Product_Name]], Price_List[Product_Name], Price_List[Standard_Price], 0)</f>
        <v>120000</v>
      </c>
      <c r="M9">
        <f>Sales_Table[[#This Row],[Net_Price]] - Sales_Table[[#This Row],[Standard_Price]]</f>
        <v>130000</v>
      </c>
      <c r="N9" t="str">
        <f>_xlfn.XLOOKUP(Sales_Table[[#This Row],[Customer_Name]],Calculations!$A$2:$A$6,Calculations!$C$2:$C$6)</f>
        <v>Silver</v>
      </c>
    </row>
    <row r="10" spans="1:14" x14ac:dyDescent="0.35">
      <c r="A10" t="s">
        <v>34</v>
      </c>
      <c r="B10" s="4">
        <v>46090</v>
      </c>
      <c r="C10" t="s">
        <v>28</v>
      </c>
      <c r="D10" t="s">
        <v>13</v>
      </c>
      <c r="E10" t="s">
        <v>24</v>
      </c>
      <c r="F10" t="s">
        <v>48</v>
      </c>
      <c r="G10" t="s">
        <v>15</v>
      </c>
      <c r="H10">
        <v>3</v>
      </c>
      <c r="I10">
        <v>5000000</v>
      </c>
      <c r="J10">
        <v>15000000</v>
      </c>
      <c r="K10" t="s">
        <v>20</v>
      </c>
      <c r="L10">
        <f>_xlfn.XLOOKUP(Sales_Table[[#This Row],[Product_Name]], Price_List[Product_Name], Price_List[Standard_Price], 0)</f>
        <v>180000</v>
      </c>
      <c r="M10">
        <f>Sales_Table[[#This Row],[Net_Price]] - Sales_Table[[#This Row],[Standard_Price]]</f>
        <v>4820000</v>
      </c>
      <c r="N10" t="str">
        <f>_xlfn.XLOOKUP(Sales_Table[[#This Row],[Customer_Name]],Calculations!$A$2:$A$6,Calculations!$C$2:$C$6)</f>
        <v>Diamond</v>
      </c>
    </row>
    <row r="11" spans="1:14" x14ac:dyDescent="0.35">
      <c r="A11" t="s">
        <v>35</v>
      </c>
      <c r="B11" s="4">
        <v>46091</v>
      </c>
      <c r="C11" t="s">
        <v>30</v>
      </c>
      <c r="D11" t="s">
        <v>23</v>
      </c>
      <c r="E11" t="s">
        <v>24</v>
      </c>
      <c r="F11" t="s">
        <v>25</v>
      </c>
      <c r="G11" t="s">
        <v>26</v>
      </c>
      <c r="H11">
        <v>5</v>
      </c>
      <c r="I11">
        <v>250000</v>
      </c>
      <c r="J11">
        <v>1250000</v>
      </c>
      <c r="K11" t="s">
        <v>16</v>
      </c>
      <c r="L11">
        <f>_xlfn.XLOOKUP(Sales_Table[[#This Row],[Product_Name]], Price_List[Product_Name], Price_List[Standard_Price], 0)</f>
        <v>120000</v>
      </c>
      <c r="M11">
        <f>Sales_Table[[#This Row],[Net_Price]] - Sales_Table[[#This Row],[Standard_Price]]</f>
        <v>130000</v>
      </c>
      <c r="N11" t="str">
        <f>_xlfn.XLOOKUP(Sales_Table[[#This Row],[Customer_Name]],Calculations!$A$2:$A$6,Calculations!$C$2:$C$6)</f>
        <v>Silver</v>
      </c>
    </row>
    <row r="12" spans="1:14" x14ac:dyDescent="0.35">
      <c r="A12" t="s">
        <v>36</v>
      </c>
      <c r="B12" s="4">
        <v>46092</v>
      </c>
      <c r="C12" t="s">
        <v>12</v>
      </c>
      <c r="D12" t="s">
        <v>13</v>
      </c>
      <c r="E12" t="s">
        <v>14</v>
      </c>
      <c r="F12" t="s">
        <v>48</v>
      </c>
      <c r="G12" t="s">
        <v>15</v>
      </c>
      <c r="H12">
        <v>1</v>
      </c>
      <c r="I12">
        <v>5000000</v>
      </c>
      <c r="J12">
        <v>5000000</v>
      </c>
      <c r="K12" t="s">
        <v>16</v>
      </c>
      <c r="L12">
        <f>_xlfn.XLOOKUP(Sales_Table[[#This Row],[Product_Name]], Price_List[Product_Name], Price_List[Standard_Price], 0)</f>
        <v>180000</v>
      </c>
      <c r="M12">
        <f>Sales_Table[[#This Row],[Net_Price]] - Sales_Table[[#This Row],[Standard_Price]]</f>
        <v>4820000</v>
      </c>
      <c r="N12" t="str">
        <f>_xlfn.XLOOKUP(Sales_Table[[#This Row],[Customer_Name]],Calculations!$A$2:$A$6,Calculations!$C$2:$C$6)</f>
        <v>Diamond</v>
      </c>
    </row>
    <row r="13" spans="1:14" x14ac:dyDescent="0.35">
      <c r="A13" t="s">
        <v>37</v>
      </c>
      <c r="B13" s="4">
        <v>46093</v>
      </c>
      <c r="C13" t="s">
        <v>18</v>
      </c>
      <c r="D13" t="s">
        <v>13</v>
      </c>
      <c r="E13" t="s">
        <v>19</v>
      </c>
      <c r="F13" t="s">
        <v>49</v>
      </c>
      <c r="G13" t="s">
        <v>15</v>
      </c>
      <c r="H13">
        <v>1</v>
      </c>
      <c r="I13">
        <v>3500000</v>
      </c>
      <c r="J13">
        <v>3500000</v>
      </c>
      <c r="K13" t="s">
        <v>20</v>
      </c>
      <c r="L13">
        <f>_xlfn.XLOOKUP(Sales_Table[[#This Row],[Product_Name]], Price_List[Product_Name], Price_List[Standard_Price], 0)</f>
        <v>150000</v>
      </c>
      <c r="M13">
        <f>Sales_Table[[#This Row],[Net_Price]] - Sales_Table[[#This Row],[Standard_Price]]</f>
        <v>3350000</v>
      </c>
      <c r="N13" t="str">
        <f>_xlfn.XLOOKUP(Sales_Table[[#This Row],[Customer_Name]],Calculations!$A$2:$A$6,Calculations!$C$2:$C$6)</f>
        <v>Gold</v>
      </c>
    </row>
    <row r="14" spans="1:14" x14ac:dyDescent="0.35">
      <c r="A14" t="s">
        <v>38</v>
      </c>
      <c r="B14" s="4">
        <v>46094</v>
      </c>
      <c r="C14" t="s">
        <v>22</v>
      </c>
      <c r="D14" t="s">
        <v>23</v>
      </c>
      <c r="E14" t="s">
        <v>24</v>
      </c>
      <c r="F14" t="s">
        <v>39</v>
      </c>
      <c r="G14" t="s">
        <v>26</v>
      </c>
      <c r="H14">
        <v>10</v>
      </c>
      <c r="I14">
        <v>85000</v>
      </c>
      <c r="J14">
        <v>850000</v>
      </c>
      <c r="K14" t="s">
        <v>16</v>
      </c>
      <c r="L14">
        <f>_xlfn.XLOOKUP(Sales_Table[[#This Row],[Product_Name]], Price_List[Product_Name], Price_List[Standard_Price], 0)</f>
        <v>110000</v>
      </c>
      <c r="M14">
        <f>Sales_Table[[#This Row],[Net_Price]] - Sales_Table[[#This Row],[Standard_Price]]</f>
        <v>-25000</v>
      </c>
      <c r="N14" t="str">
        <f>_xlfn.XLOOKUP(Sales_Table[[#This Row],[Customer_Name]],Calculations!$A$2:$A$6,Calculations!$C$2:$C$6)</f>
        <v>Silver</v>
      </c>
    </row>
    <row r="15" spans="1:14" x14ac:dyDescent="0.35">
      <c r="A15" t="s">
        <v>40</v>
      </c>
      <c r="B15" s="4">
        <v>46095</v>
      </c>
      <c r="C15" t="s">
        <v>28</v>
      </c>
      <c r="D15" t="s">
        <v>13</v>
      </c>
      <c r="E15" t="s">
        <v>24</v>
      </c>
      <c r="F15" t="s">
        <v>48</v>
      </c>
      <c r="G15" t="s">
        <v>15</v>
      </c>
      <c r="H15">
        <v>10</v>
      </c>
      <c r="I15">
        <v>5000000</v>
      </c>
      <c r="J15">
        <v>50000000</v>
      </c>
      <c r="K15" t="s">
        <v>20</v>
      </c>
      <c r="L15">
        <f>_xlfn.XLOOKUP(Sales_Table[[#This Row],[Product_Name]], Price_List[Product_Name], Price_List[Standard_Price], 0)</f>
        <v>180000</v>
      </c>
      <c r="M15">
        <f>Sales_Table[[#This Row],[Net_Price]] - Sales_Table[[#This Row],[Standard_Price]]</f>
        <v>4820000</v>
      </c>
      <c r="N15" t="str">
        <f>_xlfn.XLOOKUP(Sales_Table[[#This Row],[Customer_Name]],Calculations!$A$2:$A$6,Calculations!$C$2:$C$6)</f>
        <v>Diamond</v>
      </c>
    </row>
    <row r="16" spans="1:14" x14ac:dyDescent="0.35">
      <c r="A16" t="s">
        <v>41</v>
      </c>
      <c r="B16" s="4">
        <v>46096</v>
      </c>
      <c r="C16" t="s">
        <v>30</v>
      </c>
      <c r="D16" t="s">
        <v>23</v>
      </c>
      <c r="E16" t="s">
        <v>24</v>
      </c>
      <c r="F16" t="s">
        <v>39</v>
      </c>
      <c r="G16" t="s">
        <v>26</v>
      </c>
      <c r="H16">
        <v>2</v>
      </c>
      <c r="I16">
        <v>85000</v>
      </c>
      <c r="J16">
        <v>170000</v>
      </c>
      <c r="K16" t="s">
        <v>16</v>
      </c>
      <c r="L16">
        <f>_xlfn.XLOOKUP(Sales_Table[[#This Row],[Product_Name]], Price_List[Product_Name], Price_List[Standard_Price], 0)</f>
        <v>110000</v>
      </c>
      <c r="M16">
        <f>Sales_Table[[#This Row],[Net_Price]] - Sales_Table[[#This Row],[Standard_Price]]</f>
        <v>-25000</v>
      </c>
      <c r="N16" t="str">
        <f>_xlfn.XLOOKUP(Sales_Table[[#This Row],[Customer_Name]],Calculations!$A$2:$A$6,Calculations!$C$2:$C$6)</f>
        <v>Silver</v>
      </c>
    </row>
    <row r="17" spans="1:14" x14ac:dyDescent="0.35">
      <c r="A17" t="s">
        <v>42</v>
      </c>
      <c r="B17" s="4">
        <v>46097</v>
      </c>
      <c r="C17" t="s">
        <v>12</v>
      </c>
      <c r="D17" t="s">
        <v>13</v>
      </c>
      <c r="E17" t="s">
        <v>14</v>
      </c>
      <c r="F17" t="s">
        <v>48</v>
      </c>
      <c r="G17" t="s">
        <v>15</v>
      </c>
      <c r="H17">
        <v>4</v>
      </c>
      <c r="I17">
        <v>5000000</v>
      </c>
      <c r="J17">
        <v>20000000</v>
      </c>
      <c r="K17" t="s">
        <v>16</v>
      </c>
      <c r="L17">
        <f>_xlfn.XLOOKUP(Sales_Table[[#This Row],[Product_Name]], Price_List[Product_Name], Price_List[Standard_Price], 0)</f>
        <v>180000</v>
      </c>
      <c r="M17">
        <f>Sales_Table[[#This Row],[Net_Price]] - Sales_Table[[#This Row],[Standard_Price]]</f>
        <v>4820000</v>
      </c>
      <c r="N17" t="str">
        <f>_xlfn.XLOOKUP(Sales_Table[[#This Row],[Customer_Name]],Calculations!$A$2:$A$6,Calculations!$C$2:$C$6)</f>
        <v>Diamond</v>
      </c>
    </row>
    <row r="18" spans="1:14" x14ac:dyDescent="0.35">
      <c r="A18" t="s">
        <v>43</v>
      </c>
      <c r="B18" s="4">
        <v>46098</v>
      </c>
      <c r="C18" t="s">
        <v>18</v>
      </c>
      <c r="D18" t="s">
        <v>13</v>
      </c>
      <c r="E18" t="s">
        <v>19</v>
      </c>
      <c r="F18" t="s">
        <v>49</v>
      </c>
      <c r="G18" t="s">
        <v>15</v>
      </c>
      <c r="H18">
        <v>2</v>
      </c>
      <c r="I18">
        <v>3500000</v>
      </c>
      <c r="J18">
        <v>7000000</v>
      </c>
      <c r="K18" t="s">
        <v>20</v>
      </c>
      <c r="L18">
        <f>_xlfn.XLOOKUP(Sales_Table[[#This Row],[Product_Name]], Price_List[Product_Name], Price_List[Standard_Price], 0)</f>
        <v>150000</v>
      </c>
      <c r="M18">
        <f>Sales_Table[[#This Row],[Net_Price]] - Sales_Table[[#This Row],[Standard_Price]]</f>
        <v>3350000</v>
      </c>
      <c r="N18" t="str">
        <f>_xlfn.XLOOKUP(Sales_Table[[#This Row],[Customer_Name]],Calculations!$A$2:$A$6,Calculations!$C$2:$C$6)</f>
        <v>Gold</v>
      </c>
    </row>
    <row r="19" spans="1:14" x14ac:dyDescent="0.35">
      <c r="A19" t="s">
        <v>44</v>
      </c>
      <c r="B19" s="4">
        <v>46099</v>
      </c>
      <c r="C19" t="s">
        <v>22</v>
      </c>
      <c r="D19" t="s">
        <v>23</v>
      </c>
      <c r="E19" t="s">
        <v>24</v>
      </c>
      <c r="F19" t="s">
        <v>25</v>
      </c>
      <c r="G19" t="s">
        <v>26</v>
      </c>
      <c r="H19">
        <v>2</v>
      </c>
      <c r="I19">
        <v>250000</v>
      </c>
      <c r="J19">
        <v>500000</v>
      </c>
      <c r="K19" t="s">
        <v>16</v>
      </c>
      <c r="L19">
        <f>_xlfn.XLOOKUP(Sales_Table[[#This Row],[Product_Name]], Price_List[Product_Name], Price_List[Standard_Price], 0)</f>
        <v>120000</v>
      </c>
      <c r="M19">
        <f>Sales_Table[[#This Row],[Net_Price]] - Sales_Table[[#This Row],[Standard_Price]]</f>
        <v>130000</v>
      </c>
      <c r="N19" t="str">
        <f>_xlfn.XLOOKUP(Sales_Table[[#This Row],[Customer_Name]],Calculations!$A$2:$A$6,Calculations!$C$2:$C$6)</f>
        <v>Silver</v>
      </c>
    </row>
    <row r="20" spans="1:14" x14ac:dyDescent="0.35">
      <c r="A20" t="s">
        <v>45</v>
      </c>
      <c r="B20" s="4">
        <v>46100</v>
      </c>
      <c r="C20" t="s">
        <v>28</v>
      </c>
      <c r="D20" t="s">
        <v>13</v>
      </c>
      <c r="E20" t="s">
        <v>24</v>
      </c>
      <c r="F20" t="s">
        <v>48</v>
      </c>
      <c r="G20" t="s">
        <v>15</v>
      </c>
      <c r="H20">
        <v>7</v>
      </c>
      <c r="I20">
        <v>5000000</v>
      </c>
      <c r="J20">
        <v>35000000</v>
      </c>
      <c r="K20" t="s">
        <v>20</v>
      </c>
      <c r="L20">
        <f>_xlfn.XLOOKUP(Sales_Table[[#This Row],[Product_Name]], Price_List[Product_Name], Price_List[Standard_Price], 0)</f>
        <v>180000</v>
      </c>
      <c r="M20">
        <f>Sales_Table[[#This Row],[Net_Price]] - Sales_Table[[#This Row],[Standard_Price]]</f>
        <v>4820000</v>
      </c>
      <c r="N20" t="str">
        <f>_xlfn.XLOOKUP(Sales_Table[[#This Row],[Customer_Name]],Calculations!$A$2:$A$6,Calculations!$C$2:$C$6)</f>
        <v>Diamond</v>
      </c>
    </row>
    <row r="21" spans="1:14" x14ac:dyDescent="0.35">
      <c r="A21" t="s">
        <v>46</v>
      </c>
      <c r="B21" s="4">
        <v>46101</v>
      </c>
      <c r="C21" t="s">
        <v>30</v>
      </c>
      <c r="D21" t="s">
        <v>23</v>
      </c>
      <c r="E21" t="s">
        <v>24</v>
      </c>
      <c r="F21" t="s">
        <v>25</v>
      </c>
      <c r="G21" t="s">
        <v>26</v>
      </c>
      <c r="H21">
        <v>1</v>
      </c>
      <c r="I21">
        <v>250000</v>
      </c>
      <c r="J21">
        <v>250000</v>
      </c>
      <c r="K21" t="s">
        <v>16</v>
      </c>
      <c r="L21">
        <f>_xlfn.XLOOKUP(Sales_Table[[#This Row],[Product_Name]], Price_List[Product_Name], Price_List[Standard_Price], 0)</f>
        <v>120000</v>
      </c>
      <c r="M21">
        <f>Sales_Table[[#This Row],[Net_Price]] - Sales_Table[[#This Row],[Standard_Price]]</f>
        <v>130000</v>
      </c>
      <c r="N21" t="str">
        <f>_xlfn.XLOOKUP(Sales_Table[[#This Row],[Customer_Name]],Calculations!$A$2:$A$6,Calculations!$C$2:$C$6)</f>
        <v>Silver</v>
      </c>
    </row>
  </sheetData>
  <sheetProtection sheet="1" objects="1" scenarios="1" pivotTables="0"/>
  <conditionalFormatting sqref="M2:M21">
    <cfRule type="expression" dxfId="0" priority="1">
      <formula>$M2&lt;0</formula>
    </cfRule>
  </conditionalFormatting>
  <dataValidations count="5">
    <dataValidation type="list" allowBlank="1" showInputMessage="1" showErrorMessage="1" sqref="C2:C21" xr:uid="{77ACA405-95D6-4279-A66C-50619509A225}">
      <formula1>Customer_N</formula1>
    </dataValidation>
    <dataValidation type="list" allowBlank="1" showInputMessage="1" showErrorMessage="1" sqref="D1:D1048576" xr:uid="{EED4B02D-9E55-4373-97DB-37C672FAC668}">
      <formula1>Customer_G</formula1>
    </dataValidation>
    <dataValidation type="list" allowBlank="1" showInputMessage="1" showErrorMessage="1" sqref="E1:E1048576" xr:uid="{43D70AE2-73BC-4D4F-A3B6-F197E44E1665}">
      <formula1>Cities</formula1>
    </dataValidation>
    <dataValidation type="list" allowBlank="1" showInputMessage="1" showErrorMessage="1" sqref="F1:F1048576" xr:uid="{80A52FC5-98BC-42FC-ADAE-0124D5CC1734}">
      <formula1>Product_N</formula1>
    </dataValidation>
    <dataValidation type="custom" allowBlank="1" showInputMessage="1" showErrorMessage="1" errorTitle="Mã khách hàng đã tồn tại " error="Mỗi khách hàng chỉ có một mã duy nhất, vui lòng nhập mã phù hợp!!!" sqref="A1:A1048576" xr:uid="{12D9C3C7-4A00-4C7B-B06A-6838EB5E7BC6}">
      <formula1>COUNTIF($A$2:$A$21,A2)&lt;1</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BCE94-F20A-4039-9310-AD0C65B8454F}">
  <dimension ref="A1:W11"/>
  <sheetViews>
    <sheetView showGridLines="0" tabSelected="1" zoomScale="50" zoomScaleNormal="233" workbookViewId="0">
      <selection activeCell="Y31" sqref="Y31"/>
    </sheetView>
  </sheetViews>
  <sheetFormatPr defaultRowHeight="14.5" x14ac:dyDescent="0.35"/>
  <sheetData>
    <row r="1" spans="1:23" ht="22" customHeight="1" x14ac:dyDescent="0.35">
      <c r="A1" s="11"/>
      <c r="B1" s="11"/>
      <c r="C1" s="11"/>
      <c r="D1" s="11"/>
      <c r="E1" s="11"/>
      <c r="F1" s="11"/>
      <c r="G1" s="11"/>
      <c r="H1" s="11"/>
      <c r="I1" s="11"/>
      <c r="J1" s="11"/>
      <c r="K1" s="11"/>
      <c r="L1" s="11"/>
      <c r="M1" s="11"/>
      <c r="N1" s="11"/>
      <c r="O1" s="11"/>
      <c r="P1" s="11"/>
      <c r="Q1" s="11"/>
      <c r="R1" s="11"/>
      <c r="S1" s="11"/>
      <c r="T1" s="11"/>
      <c r="U1" s="11"/>
      <c r="V1" s="8"/>
      <c r="W1" s="8"/>
    </row>
    <row r="2" spans="1:23" ht="28.5" customHeight="1" x14ac:dyDescent="0.35">
      <c r="A2" s="11"/>
      <c r="B2" s="11"/>
      <c r="C2" s="11"/>
      <c r="D2" s="11"/>
      <c r="E2" s="11"/>
      <c r="F2" s="11"/>
      <c r="G2" s="11"/>
      <c r="H2" s="11"/>
      <c r="I2" s="11"/>
      <c r="J2" s="11"/>
      <c r="K2" s="11"/>
      <c r="L2" s="11"/>
      <c r="M2" s="11"/>
      <c r="N2" s="11"/>
      <c r="O2" s="11"/>
      <c r="P2" s="11"/>
      <c r="Q2" s="11"/>
      <c r="R2" s="11"/>
      <c r="S2" s="11"/>
      <c r="T2" s="11"/>
      <c r="U2" s="11"/>
      <c r="V2" s="8"/>
      <c r="W2" s="8"/>
    </row>
    <row r="3" spans="1:23" x14ac:dyDescent="0.35">
      <c r="A3" s="8"/>
      <c r="B3" s="8"/>
    </row>
    <row r="4" spans="1:23" x14ac:dyDescent="0.35">
      <c r="A4" s="10"/>
      <c r="B4" s="10"/>
      <c r="C4" s="10"/>
    </row>
    <row r="5" spans="1:23" x14ac:dyDescent="0.35">
      <c r="A5" s="10"/>
      <c r="B5" s="10"/>
      <c r="C5" s="10"/>
    </row>
    <row r="6" spans="1:23" x14ac:dyDescent="0.35">
      <c r="A6" s="10"/>
      <c r="B6" s="10"/>
      <c r="C6" s="10"/>
    </row>
    <row r="7" spans="1:23" x14ac:dyDescent="0.35">
      <c r="A7" s="10"/>
      <c r="B7" s="10"/>
      <c r="C7" s="10"/>
    </row>
    <row r="8" spans="1:23" x14ac:dyDescent="0.35">
      <c r="A8" s="10"/>
      <c r="B8" s="10"/>
      <c r="C8" s="10"/>
    </row>
    <row r="9" spans="1:23" x14ac:dyDescent="0.35">
      <c r="A9" s="10"/>
      <c r="B9" s="10"/>
      <c r="C9" s="10"/>
      <c r="G9" s="9"/>
    </row>
    <row r="10" spans="1:23" x14ac:dyDescent="0.35">
      <c r="A10" s="10"/>
      <c r="B10" s="10"/>
      <c r="C10" s="10"/>
    </row>
    <row r="11" spans="1:23" x14ac:dyDescent="0.35">
      <c r="A11" s="10"/>
      <c r="B11" s="10"/>
      <c r="C11" s="10"/>
    </row>
  </sheetData>
  <sheetProtection pivotTables="0"/>
  <mergeCells count="2">
    <mergeCell ref="A4:C11"/>
    <mergeCell ref="A1:U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D30BE-E6E4-47F9-87B2-C48F71186124}">
  <dimension ref="A3:D43"/>
  <sheetViews>
    <sheetView workbookViewId="0">
      <selection activeCell="B49" sqref="B49"/>
    </sheetView>
  </sheetViews>
  <sheetFormatPr defaultRowHeight="14.5" x14ac:dyDescent="0.35"/>
  <cols>
    <col min="1" max="1" width="20.1796875" bestFit="1" customWidth="1"/>
    <col min="2" max="2" width="15.54296875" bestFit="1" customWidth="1"/>
    <col min="3" max="3" width="22.453125" bestFit="1" customWidth="1"/>
  </cols>
  <sheetData>
    <row r="3" spans="1:4" x14ac:dyDescent="0.35">
      <c r="A3" s="2" t="s">
        <v>51</v>
      </c>
      <c r="B3" t="s">
        <v>62</v>
      </c>
    </row>
    <row r="4" spans="1:4" x14ac:dyDescent="0.35">
      <c r="A4" s="3" t="s">
        <v>61</v>
      </c>
      <c r="B4" s="12">
        <v>8</v>
      </c>
      <c r="C4" s="6" t="e">
        <f>B4/B7</f>
        <v>#DIV/0!</v>
      </c>
      <c r="D4" s="7" t="e">
        <f>C4</f>
        <v>#DIV/0!</v>
      </c>
    </row>
    <row r="5" spans="1:4" x14ac:dyDescent="0.35">
      <c r="A5" s="3" t="s">
        <v>52</v>
      </c>
      <c r="B5" s="12">
        <v>8</v>
      </c>
    </row>
    <row r="9" spans="1:4" x14ac:dyDescent="0.35">
      <c r="A9" s="2" t="s">
        <v>51</v>
      </c>
      <c r="B9" t="s">
        <v>53</v>
      </c>
    </row>
    <row r="10" spans="1:4" x14ac:dyDescent="0.35">
      <c r="A10" s="3" t="s">
        <v>61</v>
      </c>
      <c r="B10" s="12">
        <v>175000000</v>
      </c>
    </row>
    <row r="11" spans="1:4" x14ac:dyDescent="0.35">
      <c r="A11" s="3" t="s">
        <v>52</v>
      </c>
      <c r="B11" s="12">
        <v>175000000</v>
      </c>
    </row>
    <row r="22" spans="1:2" x14ac:dyDescent="0.35">
      <c r="A22" s="2" t="s">
        <v>51</v>
      </c>
      <c r="B22" t="s">
        <v>53</v>
      </c>
    </row>
    <row r="23" spans="1:2" x14ac:dyDescent="0.35">
      <c r="A23" s="3" t="s">
        <v>48</v>
      </c>
      <c r="B23" s="12">
        <v>175000000</v>
      </c>
    </row>
    <row r="24" spans="1:2" x14ac:dyDescent="0.35">
      <c r="A24" s="3" t="s">
        <v>52</v>
      </c>
      <c r="B24" s="12">
        <v>175000000</v>
      </c>
    </row>
    <row r="40" spans="1:2" x14ac:dyDescent="0.35">
      <c r="A40" s="2" t="s">
        <v>51</v>
      </c>
      <c r="B40" t="s">
        <v>53</v>
      </c>
    </row>
    <row r="41" spans="1:2" x14ac:dyDescent="0.35">
      <c r="A41" s="3" t="s">
        <v>14</v>
      </c>
      <c r="B41" s="12">
        <v>50000000</v>
      </c>
    </row>
    <row r="42" spans="1:2" x14ac:dyDescent="0.35">
      <c r="A42" s="3" t="s">
        <v>24</v>
      </c>
      <c r="B42" s="12">
        <v>125000000</v>
      </c>
    </row>
    <row r="43" spans="1:2" x14ac:dyDescent="0.35">
      <c r="A43" s="3" t="s">
        <v>52</v>
      </c>
      <c r="B43" s="12">
        <v>175000000</v>
      </c>
    </row>
  </sheetData>
  <sheetProtection algorithmName="SHA-512" hashValue="4X0spE1Xmfg/q6MlNdBel6qpPGCEmhC5+wPbpapxgOvhrw2YdLpT9s3hcnTjQyKRYDwnLZHdVSBL2gw7xzAdNA==" saltValue="uOBv/QJc/I2xD65v95y1UQ==" spinCount="100000" sheet="1" objects="1" scenarios="1" pivotTables="0"/>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F56E1-A5B9-42E4-8D71-83070F24C2CE}">
  <dimension ref="A1:C18"/>
  <sheetViews>
    <sheetView topLeftCell="A90" workbookViewId="0">
      <selection activeCell="A17" sqref="A17:A18"/>
    </sheetView>
  </sheetViews>
  <sheetFormatPr defaultRowHeight="14.5" x14ac:dyDescent="0.35"/>
  <cols>
    <col min="1" max="1" width="15.6328125" bestFit="1" customWidth="1"/>
    <col min="2" max="2" width="15.54296875" bestFit="1" customWidth="1"/>
    <col min="3" max="3" width="10.81640625" bestFit="1" customWidth="1"/>
  </cols>
  <sheetData>
    <row r="1" spans="1:3" x14ac:dyDescent="0.35">
      <c r="A1" s="2" t="s">
        <v>51</v>
      </c>
      <c r="B1" t="s">
        <v>53</v>
      </c>
      <c r="C1" t="s">
        <v>54</v>
      </c>
    </row>
    <row r="2" spans="1:3" x14ac:dyDescent="0.35">
      <c r="A2" s="3" t="s">
        <v>22</v>
      </c>
      <c r="B2">
        <v>2100000</v>
      </c>
      <c r="C2" t="str" cm="1">
        <f t="array" ref="C2">_xlfn.IFS(
    B2 &gt;= 50000000, "Diamond",
    B2 &gt;= 20000000, "Gold",
    TRUE, "Silver"
)</f>
        <v>Silver</v>
      </c>
    </row>
    <row r="3" spans="1:3" x14ac:dyDescent="0.35">
      <c r="A3" s="3" t="s">
        <v>30</v>
      </c>
      <c r="B3">
        <v>2420000</v>
      </c>
      <c r="C3" t="str" cm="1">
        <f t="array" ref="C3">_xlfn.IFS(
    B3 &gt;= 50000000, "Diamond",
    B3 &gt;= 20000000, "Gold",
    TRUE, "Silver"
)</f>
        <v>Silver</v>
      </c>
    </row>
    <row r="4" spans="1:3" x14ac:dyDescent="0.35">
      <c r="A4" s="3" t="s">
        <v>18</v>
      </c>
      <c r="B4">
        <v>28000000</v>
      </c>
      <c r="C4" t="str" cm="1">
        <f t="array" ref="C4">_xlfn.IFS(
    B4 &gt;= 50000000, "Diamond",
    B4 &gt;= 20000000, "Gold",
    TRUE, "Silver"
)</f>
        <v>Gold</v>
      </c>
    </row>
    <row r="5" spans="1:3" x14ac:dyDescent="0.35">
      <c r="A5" s="3" t="s">
        <v>28</v>
      </c>
      <c r="B5">
        <v>125000000</v>
      </c>
      <c r="C5" t="str" cm="1">
        <f t="array" ref="C5">_xlfn.IFS(
    B5 &gt;= 50000000, "Diamond",
    B5 &gt;= 20000000, "Gold",
    TRUE, "Silver"
)</f>
        <v>Diamond</v>
      </c>
    </row>
    <row r="6" spans="1:3" x14ac:dyDescent="0.35">
      <c r="A6" s="3" t="s">
        <v>12</v>
      </c>
      <c r="B6">
        <v>50000000</v>
      </c>
      <c r="C6" t="str" cm="1">
        <f t="array" ref="C6">_xlfn.IFS(
    B6 &gt;= 50000000, "Diamond",
    B6 &gt;= 20000000, "Gold",
    TRUE, "Silver"
)</f>
        <v>Diamond</v>
      </c>
    </row>
    <row r="7" spans="1:3" x14ac:dyDescent="0.35">
      <c r="A7" s="3" t="s">
        <v>52</v>
      </c>
      <c r="B7">
        <v>207520000</v>
      </c>
    </row>
    <row r="11" spans="1:3" x14ac:dyDescent="0.35">
      <c r="A11" t="s">
        <v>53</v>
      </c>
    </row>
    <row r="12" spans="1:3" x14ac:dyDescent="0.35">
      <c r="A12">
        <v>207520000</v>
      </c>
      <c r="B12">
        <f>A12</f>
        <v>207520000</v>
      </c>
    </row>
    <row r="14" spans="1:3" x14ac:dyDescent="0.35">
      <c r="A14" t="s">
        <v>60</v>
      </c>
    </row>
    <row r="15" spans="1:3" x14ac:dyDescent="0.35">
      <c r="A15">
        <v>20</v>
      </c>
      <c r="B15">
        <f>A15</f>
        <v>20</v>
      </c>
    </row>
    <row r="17" spans="1:1" x14ac:dyDescent="0.35">
      <c r="A17" s="2" t="s">
        <v>60</v>
      </c>
    </row>
    <row r="18" spans="1:1" x14ac:dyDescent="0.35">
      <c r="A18">
        <v>20</v>
      </c>
    </row>
  </sheetData>
  <sheetProtection algorithmName="SHA-512" hashValue="bPI13P8W1GlDmszyX8fjNxSKi87ukPqPV4q06SyYfbsl4NKZGOhFfPxmCC1/cMggqjrwMS20K/lWeAvLarkgAQ==" saltValue="o3tqYjHmaRY4VgMBi0aqbw==" spinCount="100000" sheet="1" objects="1" scenarios="1"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D2FAA-466F-43EC-B130-EDB1217C5656}">
  <dimension ref="A1:G7"/>
  <sheetViews>
    <sheetView workbookViewId="0">
      <selection activeCell="G4" sqref="G4"/>
    </sheetView>
  </sheetViews>
  <sheetFormatPr defaultRowHeight="14.5" x14ac:dyDescent="0.35"/>
  <cols>
    <col min="1" max="1" width="17.08984375" bestFit="1" customWidth="1"/>
    <col min="2" max="2" width="17.08984375" customWidth="1"/>
    <col min="3" max="3" width="17.26953125" bestFit="1" customWidth="1"/>
    <col min="4" max="4" width="17.26953125" customWidth="1"/>
    <col min="5" max="5" width="12.6328125" bestFit="1" customWidth="1"/>
    <col min="6" max="6" width="12.6328125" customWidth="1"/>
    <col min="7" max="7" width="20.453125" bestFit="1" customWidth="1"/>
  </cols>
  <sheetData>
    <row r="1" spans="1:7" s="5" customFormat="1" x14ac:dyDescent="0.35">
      <c r="A1"/>
      <c r="C1"/>
      <c r="E1"/>
      <c r="G1"/>
    </row>
    <row r="2" spans="1:7" x14ac:dyDescent="0.35">
      <c r="A2" s="5" t="s">
        <v>56</v>
      </c>
      <c r="C2" s="5" t="s">
        <v>57</v>
      </c>
      <c r="E2" s="5" t="s">
        <v>58</v>
      </c>
      <c r="G2" s="5" t="s">
        <v>59</v>
      </c>
    </row>
    <row r="3" spans="1:7" x14ac:dyDescent="0.35">
      <c r="A3" t="s">
        <v>12</v>
      </c>
      <c r="C3" t="s">
        <v>13</v>
      </c>
      <c r="E3" t="s">
        <v>14</v>
      </c>
      <c r="G3" t="s">
        <v>48</v>
      </c>
    </row>
    <row r="4" spans="1:7" x14ac:dyDescent="0.35">
      <c r="A4" t="s">
        <v>18</v>
      </c>
      <c r="C4" t="s">
        <v>23</v>
      </c>
      <c r="E4" t="s">
        <v>19</v>
      </c>
      <c r="G4" t="s">
        <v>49</v>
      </c>
    </row>
    <row r="5" spans="1:7" x14ac:dyDescent="0.35">
      <c r="A5" t="s">
        <v>22</v>
      </c>
      <c r="E5" t="s">
        <v>24</v>
      </c>
      <c r="G5" t="s">
        <v>25</v>
      </c>
    </row>
    <row r="6" spans="1:7" x14ac:dyDescent="0.35">
      <c r="A6" t="s">
        <v>28</v>
      </c>
      <c r="G6" t="s">
        <v>39</v>
      </c>
    </row>
    <row r="7" spans="1:7" x14ac:dyDescent="0.35">
      <c r="A7" t="s">
        <v>30</v>
      </c>
    </row>
  </sheetData>
  <sheetProtection algorithmName="SHA-512" hashValue="l28SUk0QszJK2Pd4Db1L2zONV2fG4yZhtKK9eGqtJnIyle1ghsma+Uw5t30RAnXe0qZTur+hEJWulWg5hrTrXw==" saltValue="o/FgH9FPthxstz/UexySKQ==" spinCount="100000" sheet="1" objects="1" scenarios="1"/>
  <pageMargins left="0.7" right="0.7" top="0.75" bottom="0.75" header="0.3" footer="0.3"/>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6D2EA-1F0D-4547-AFCD-F01CA860DECE}">
  <dimension ref="A1:B6"/>
  <sheetViews>
    <sheetView workbookViewId="0">
      <selection activeCell="A4" sqref="A4"/>
    </sheetView>
  </sheetViews>
  <sheetFormatPr defaultRowHeight="14.5" x14ac:dyDescent="0.35"/>
  <cols>
    <col min="1" max="1" width="20.453125" bestFit="1" customWidth="1"/>
    <col min="2" max="2" width="15.54296875" customWidth="1"/>
  </cols>
  <sheetData>
    <row r="1" spans="1:2" x14ac:dyDescent="0.35">
      <c r="A1" t="s">
        <v>5</v>
      </c>
      <c r="B1" t="s">
        <v>47</v>
      </c>
    </row>
    <row r="2" spans="1:2" x14ac:dyDescent="0.35">
      <c r="A2" t="s">
        <v>48</v>
      </c>
      <c r="B2" s="1">
        <v>180000</v>
      </c>
    </row>
    <row r="3" spans="1:2" x14ac:dyDescent="0.35">
      <c r="A3" t="s">
        <v>49</v>
      </c>
      <c r="B3" s="1">
        <v>150000</v>
      </c>
    </row>
    <row r="4" spans="1:2" x14ac:dyDescent="0.35">
      <c r="A4" t="s">
        <v>25</v>
      </c>
      <c r="B4" s="1">
        <v>120000</v>
      </c>
    </row>
    <row r="5" spans="1:2" x14ac:dyDescent="0.35">
      <c r="A5" t="s">
        <v>48</v>
      </c>
      <c r="B5" s="1">
        <v>100000</v>
      </c>
    </row>
    <row r="6" spans="1:2" x14ac:dyDescent="0.35">
      <c r="A6" t="s">
        <v>39</v>
      </c>
      <c r="B6" s="1">
        <v>110000</v>
      </c>
    </row>
  </sheetData>
  <sheetProtection algorithmName="SHA-512" hashValue="5dj2GYFqhTkpEsrJQYLKzMGf8UvwXu7IasShoQhPvm6fxl1HKI/Y6haQoEH2D4tirJppJ069CdPevVxmJF77MQ==" saltValue="Hl/78Q26BTVkhFUIHQu9xg==" spinCount="100000" sheet="1" objects="1" scenarios="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072561-49EC-48EC-B558-B95A28D376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15</vt:i4>
      </vt:variant>
    </vt:vector>
  </HeadingPairs>
  <TitlesOfParts>
    <vt:vector size="21" baseType="lpstr">
      <vt:lpstr>Cleaned_Data</vt:lpstr>
      <vt:lpstr>Dashboard</vt:lpstr>
      <vt:lpstr>Calculations1</vt:lpstr>
      <vt:lpstr>Calculations</vt:lpstr>
      <vt:lpstr>Lookup_Lists</vt:lpstr>
      <vt:lpstr>Master_Data</vt:lpstr>
      <vt:lpstr>Category</vt:lpstr>
      <vt:lpstr>Cities</vt:lpstr>
      <vt:lpstr>City</vt:lpstr>
      <vt:lpstr>Customer_G</vt:lpstr>
      <vt:lpstr>Customer_Group</vt:lpstr>
      <vt:lpstr>Customer_N</vt:lpstr>
      <vt:lpstr>Customer_Name</vt:lpstr>
      <vt:lpstr>Line_Total</vt:lpstr>
      <vt:lpstr>Net_Price</vt:lpstr>
      <vt:lpstr>Order_Date</vt:lpstr>
      <vt:lpstr>Order_ID</vt:lpstr>
      <vt:lpstr>Order_Quantity</vt:lpstr>
      <vt:lpstr>Payment_Status</vt:lpstr>
      <vt:lpstr>Product_N</vt:lpstr>
      <vt:lpstr>Product_Name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HANH DINH</dc:creator>
  <cp:lastModifiedBy>HANH DINH</cp:lastModifiedBy>
  <dcterms:created xsi:type="dcterms:W3CDTF">2026-04-14T13:00:50Z</dcterms:created>
  <dcterms:modified xsi:type="dcterms:W3CDTF">2026-04-15T03:16:25Z</dcterms:modified>
</cp:coreProperties>
</file>